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ndidates" sheetId="2" state="visible" r:id="rId4"/>
    <sheet name="Read Me" sheetId="3" state="visible" r:id="rId5"/>
    <sheet name="Lists" sheetId="4" state="visible" r:id="rId6"/>
  </sheets>
  <definedNames>
    <definedName function="false" hidden="true" localSheetId="1" name="_xlnm._FilterDatabase" vbProcedure="false">Candidates!$A$1:$P$500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<sst xmlns="http://schemas.openxmlformats.org/spreadsheetml/2006/main" count="1059" uniqueCount="404">
  <si>
    <t xml:space="preserve">Recruitment Dashboard</t>
  </si>
  <si>
    <t xml:space="preserve">All figures are formulas linked to the Candidates sheet. Data is synthetic.</t>
  </si>
  <si>
    <t xml:space="preserve">Screening SLA (days)</t>
  </si>
  <si>
    <t xml:space="preserve">Edit B4: screening delays longer than this are highlighted on the Candidates sheet.</t>
  </si>
  <si>
    <t xml:space="preserve">Total candidates</t>
  </si>
  <si>
    <t xml:space="preserve">Active (In Progress)</t>
  </si>
  <si>
    <t xml:space="preserve">Avg days to screen</t>
  </si>
  <si>
    <t xml:space="preserve">Avg days to offer</t>
  </si>
  <si>
    <t xml:space="preserve">% screened within SLA</t>
  </si>
  <si>
    <t xml:space="preserve">Hiring funnel (reached at least this stage)</t>
  </si>
  <si>
    <t xml:space="preserve">Stage</t>
  </si>
  <si>
    <t xml:space="preserve">Stage #</t>
  </si>
  <si>
    <t xml:space="preserve">Candidates</t>
  </si>
  <si>
    <t xml:space="preserve">Step conversion</t>
  </si>
  <si>
    <t xml:space="preserve">Overall conversion</t>
  </si>
  <si>
    <t xml:space="preserve">Applied</t>
  </si>
  <si>
    <t xml:space="preserve">Screened</t>
  </si>
  <si>
    <t xml:space="preserve">Interviewed</t>
  </si>
  <si>
    <t xml:space="preserve">Offered</t>
  </si>
  <si>
    <t xml:space="preserve">Joined</t>
  </si>
  <si>
    <t xml:space="preserve">Sourcing channel effectiveness</t>
  </si>
  <si>
    <t xml:space="preserve">Source</t>
  </si>
  <si>
    <t xml:space="preserve">Applicants</t>
  </si>
  <si>
    <t xml:space="preserve">Interviewed+</t>
  </si>
  <si>
    <t xml:space="preserve">Offered+</t>
  </si>
  <si>
    <t xml:space="preserve">Interview rate</t>
  </si>
  <si>
    <t xml:space="preserve">Offer rate</t>
  </si>
  <si>
    <t xml:space="preserve">LinkedIn</t>
  </si>
  <si>
    <t xml:space="preserve">Job Portal</t>
  </si>
  <si>
    <t xml:space="preserve">Employee Referral</t>
  </si>
  <si>
    <t xml:space="preserve">Campus Drive</t>
  </si>
  <si>
    <t xml:space="preserve">Company Website</t>
  </si>
  <si>
    <t xml:space="preserve">Outcome by role</t>
  </si>
  <si>
    <t xml:space="preserve">Role</t>
  </si>
  <si>
    <t xml:space="preserve">In Progress</t>
  </si>
  <si>
    <t xml:space="preserve">Rejected</t>
  </si>
  <si>
    <t xml:space="preserve">Withdrawn</t>
  </si>
  <si>
    <t xml:space="preserve">Data Analyst Intern</t>
  </si>
  <si>
    <t xml:space="preserve">Software Engineering Intern</t>
  </si>
  <si>
    <t xml:space="preserve">Marketing Intern</t>
  </si>
  <si>
    <t xml:space="preserve">Operations Intern</t>
  </si>
  <si>
    <t xml:space="preserve">Finance Intern</t>
  </si>
  <si>
    <t xml:space="preserve">Candidate ID</t>
  </si>
  <si>
    <t xml:space="preserve">Name</t>
  </si>
  <si>
    <t xml:space="preserve">Email</t>
  </si>
  <si>
    <t xml:space="preserve">Recruiter</t>
  </si>
  <si>
    <t xml:space="preserve">Applied Date</t>
  </si>
  <si>
    <t xml:space="preserve">Screening Date</t>
  </si>
  <si>
    <t xml:space="preserve">Interview Date</t>
  </si>
  <si>
    <t xml:space="preserve">Offer Date</t>
  </si>
  <si>
    <t xml:space="preserve">Outcome</t>
  </si>
  <si>
    <t xml:space="preserve">Notes</t>
  </si>
  <si>
    <t xml:space="preserve">Days to Screen</t>
  </si>
  <si>
    <t xml:space="preserve">Days to Offer</t>
  </si>
  <si>
    <t xml:space="preserve">C0001</t>
  </si>
  <si>
    <t xml:space="preserve">Meera Sharma</t>
  </si>
  <si>
    <t xml:space="preserve">meera.sharma.1@example.com</t>
  </si>
  <si>
    <t xml:space="preserve">Recruiter B</t>
  </si>
  <si>
    <t xml:space="preserve">C0002</t>
  </si>
  <si>
    <t xml:space="preserve">Diya Sharma</t>
  </si>
  <si>
    <t xml:space="preserve">diya.sharma.2@example.com</t>
  </si>
  <si>
    <t xml:space="preserve">Recruiter C</t>
  </si>
  <si>
    <t xml:space="preserve">C0003</t>
  </si>
  <si>
    <t xml:space="preserve">Mira Nair</t>
  </si>
  <si>
    <t xml:space="preserve">mira.nair.3@example.com</t>
  </si>
  <si>
    <t xml:space="preserve">Recruiter A</t>
  </si>
  <si>
    <t xml:space="preserve">C0004</t>
  </si>
  <si>
    <t xml:space="preserve">Riya Iyer</t>
  </si>
  <si>
    <t xml:space="preserve">riya.iyer.4@example.com</t>
  </si>
  <si>
    <t xml:space="preserve">C0005</t>
  </si>
  <si>
    <t xml:space="preserve">Meera Iyer</t>
  </si>
  <si>
    <t xml:space="preserve">meera.iyer.5@example.com</t>
  </si>
  <si>
    <t xml:space="preserve">C0006</t>
  </si>
  <si>
    <t xml:space="preserve">Zoya Chopra</t>
  </si>
  <si>
    <t xml:space="preserve">zoya.chopra.6@example.com</t>
  </si>
  <si>
    <t xml:space="preserve">C0007</t>
  </si>
  <si>
    <t xml:space="preserve">Meera Nair</t>
  </si>
  <si>
    <t xml:space="preserve">meera.nair.7@example.com</t>
  </si>
  <si>
    <t xml:space="preserve">C0008</t>
  </si>
  <si>
    <t xml:space="preserve">Kabir Rao</t>
  </si>
  <si>
    <t xml:space="preserve">kabir.rao.8@example.com</t>
  </si>
  <si>
    <t xml:space="preserve">C0009</t>
  </si>
  <si>
    <t xml:space="preserve">Mira Mehta</t>
  </si>
  <si>
    <t xml:space="preserve">mira.mehta.9@example.com</t>
  </si>
  <si>
    <t xml:space="preserve">C0010</t>
  </si>
  <si>
    <t xml:space="preserve">Aditya Chopra</t>
  </si>
  <si>
    <t xml:space="preserve">aditya.chopra.10@example.com</t>
  </si>
  <si>
    <t xml:space="preserve">C0011</t>
  </si>
  <si>
    <t xml:space="preserve">Anaya Joshi</t>
  </si>
  <si>
    <t xml:space="preserve">anaya.joshi.11@example.com</t>
  </si>
  <si>
    <t xml:space="preserve">C0012</t>
  </si>
  <si>
    <t xml:space="preserve">Ishaan Khanna</t>
  </si>
  <si>
    <t xml:space="preserve">ishaan.khanna.12@example.com</t>
  </si>
  <si>
    <t xml:space="preserve">C0013</t>
  </si>
  <si>
    <t xml:space="preserve">Riya Rao</t>
  </si>
  <si>
    <t xml:space="preserve">riya.rao.13@example.com</t>
  </si>
  <si>
    <t xml:space="preserve">C0014</t>
  </si>
  <si>
    <t xml:space="preserve">Aarav Malik</t>
  </si>
  <si>
    <t xml:space="preserve">aarav.malik.14@example.com</t>
  </si>
  <si>
    <t xml:space="preserve">C0015</t>
  </si>
  <si>
    <t xml:space="preserve">Arjun Bose</t>
  </si>
  <si>
    <t xml:space="preserve">arjun.bose.15@example.com</t>
  </si>
  <si>
    <t xml:space="preserve">C0016</t>
  </si>
  <si>
    <t xml:space="preserve">Tara Kapoor</t>
  </si>
  <si>
    <t xml:space="preserve">tara.kapoor.16@example.com</t>
  </si>
  <si>
    <t xml:space="preserve">C0017</t>
  </si>
  <si>
    <t xml:space="preserve">Meera Chopra</t>
  </si>
  <si>
    <t xml:space="preserve">meera.chopra.17@example.com</t>
  </si>
  <si>
    <t xml:space="preserve">C0018</t>
  </si>
  <si>
    <t xml:space="preserve">Kiara Reddy</t>
  </si>
  <si>
    <t xml:space="preserve">kiara.reddy.18@example.com</t>
  </si>
  <si>
    <t xml:space="preserve">C0019</t>
  </si>
  <si>
    <t xml:space="preserve">Isha Singh</t>
  </si>
  <si>
    <t xml:space="preserve">isha.singh.19@example.com</t>
  </si>
  <si>
    <t xml:space="preserve">C0020</t>
  </si>
  <si>
    <t xml:space="preserve">Tara Khanna</t>
  </si>
  <si>
    <t xml:space="preserve">tara.khanna.20@example.com</t>
  </si>
  <si>
    <t xml:space="preserve">C0021</t>
  </si>
  <si>
    <t xml:space="preserve">Aditya Mehta</t>
  </si>
  <si>
    <t xml:space="preserve">aditya.mehta.21@example.com</t>
  </si>
  <si>
    <t xml:space="preserve">C0022</t>
  </si>
  <si>
    <t xml:space="preserve">Ishaan Mehta</t>
  </si>
  <si>
    <t xml:space="preserve">ishaan.mehta.22@example.com</t>
  </si>
  <si>
    <t xml:space="preserve">C0023</t>
  </si>
  <si>
    <t xml:space="preserve">Aditya Khanna</t>
  </si>
  <si>
    <t xml:space="preserve">aditya.khanna.23@example.com</t>
  </si>
  <si>
    <t xml:space="preserve">C0024</t>
  </si>
  <si>
    <t xml:space="preserve">riya.iyer.24@example.com</t>
  </si>
  <si>
    <t xml:space="preserve">C0025</t>
  </si>
  <si>
    <t xml:space="preserve">Neel Kapoor</t>
  </si>
  <si>
    <t xml:space="preserve">neel.kapoor.25@example.com</t>
  </si>
  <si>
    <t xml:space="preserve">C0026</t>
  </si>
  <si>
    <t xml:space="preserve">Anaya Reddy</t>
  </si>
  <si>
    <t xml:space="preserve">anaya.reddy.26@example.com</t>
  </si>
  <si>
    <t xml:space="preserve">C0027</t>
  </si>
  <si>
    <t xml:space="preserve">Anaya Gupta</t>
  </si>
  <si>
    <t xml:space="preserve">anaya.gupta.27@example.com</t>
  </si>
  <si>
    <t xml:space="preserve">C0028</t>
  </si>
  <si>
    <t xml:space="preserve">Yash Singh</t>
  </si>
  <si>
    <t xml:space="preserve">yash.singh.28@example.com</t>
  </si>
  <si>
    <t xml:space="preserve">C0029</t>
  </si>
  <si>
    <t xml:space="preserve">Rohan Mehta</t>
  </si>
  <si>
    <t xml:space="preserve">rohan.mehta.29@example.com</t>
  </si>
  <si>
    <t xml:space="preserve">C0030</t>
  </si>
  <si>
    <t xml:space="preserve">diya.sharma.30@example.com</t>
  </si>
  <si>
    <t xml:space="preserve">C0031</t>
  </si>
  <si>
    <t xml:space="preserve">kabir.rao.31@example.com</t>
  </si>
  <si>
    <t xml:space="preserve">C0032</t>
  </si>
  <si>
    <t xml:space="preserve">Diya Rao</t>
  </si>
  <si>
    <t xml:space="preserve">diya.rao.32@example.com</t>
  </si>
  <si>
    <t xml:space="preserve">C0033</t>
  </si>
  <si>
    <t xml:space="preserve">Neel Mehta</t>
  </si>
  <si>
    <t xml:space="preserve">neel.mehta.33@example.com</t>
  </si>
  <si>
    <t xml:space="preserve">C0034</t>
  </si>
  <si>
    <t xml:space="preserve">Aarav Khanna</t>
  </si>
  <si>
    <t xml:space="preserve">aarav.khanna.34@example.com</t>
  </si>
  <si>
    <t xml:space="preserve">C0035</t>
  </si>
  <si>
    <t xml:space="preserve">Kabir Chopra</t>
  </si>
  <si>
    <t xml:space="preserve">kabir.chopra.35@example.com</t>
  </si>
  <si>
    <t xml:space="preserve">C0036</t>
  </si>
  <si>
    <t xml:space="preserve">Ishaan Sharma</t>
  </si>
  <si>
    <t xml:space="preserve">ishaan.sharma.36@example.com</t>
  </si>
  <si>
    <t xml:space="preserve">C0037</t>
  </si>
  <si>
    <t xml:space="preserve">Mira Gupta</t>
  </si>
  <si>
    <t xml:space="preserve">mira.gupta.37@example.com</t>
  </si>
  <si>
    <t xml:space="preserve">C0038</t>
  </si>
  <si>
    <t xml:space="preserve">ishaan.khanna.38@example.com</t>
  </si>
  <si>
    <t xml:space="preserve">C0039</t>
  </si>
  <si>
    <t xml:space="preserve">Aarav Iyer</t>
  </si>
  <si>
    <t xml:space="preserve">aarav.iyer.39@example.com</t>
  </si>
  <si>
    <t xml:space="preserve">C0040</t>
  </si>
  <si>
    <t xml:space="preserve">kabir.chopra.40@example.com</t>
  </si>
  <si>
    <t xml:space="preserve">C0041</t>
  </si>
  <si>
    <t xml:space="preserve">Sara Iyer</t>
  </si>
  <si>
    <t xml:space="preserve">sara.iyer.41@example.com</t>
  </si>
  <si>
    <t xml:space="preserve">C0042</t>
  </si>
  <si>
    <t xml:space="preserve">riya.rao.42@example.com</t>
  </si>
  <si>
    <t xml:space="preserve">C0043</t>
  </si>
  <si>
    <t xml:space="preserve">Riya Kapoor</t>
  </si>
  <si>
    <t xml:space="preserve">riya.kapoor.43@example.com</t>
  </si>
  <si>
    <t xml:space="preserve">C0044</t>
  </si>
  <si>
    <t xml:space="preserve">Kiara Mehta</t>
  </si>
  <si>
    <t xml:space="preserve">kiara.mehta.44@example.com</t>
  </si>
  <si>
    <t xml:space="preserve">C0045</t>
  </si>
  <si>
    <t xml:space="preserve">Vivaan Nair</t>
  </si>
  <si>
    <t xml:space="preserve">vivaan.nair.45@example.com</t>
  </si>
  <si>
    <t xml:space="preserve">C0046</t>
  </si>
  <si>
    <t xml:space="preserve">Neel Sharma</t>
  </si>
  <si>
    <t xml:space="preserve">neel.sharma.46@example.com</t>
  </si>
  <si>
    <t xml:space="preserve">C0047</t>
  </si>
  <si>
    <t xml:space="preserve">riya.iyer.47@example.com</t>
  </si>
  <si>
    <t xml:space="preserve">C0048</t>
  </si>
  <si>
    <t xml:space="preserve">Riya Sharma</t>
  </si>
  <si>
    <t xml:space="preserve">riya.sharma.48@example.com</t>
  </si>
  <si>
    <t xml:space="preserve">C0049</t>
  </si>
  <si>
    <t xml:space="preserve">Zoya Iyer</t>
  </si>
  <si>
    <t xml:space="preserve">zoya.iyer.49@example.com</t>
  </si>
  <si>
    <t xml:space="preserve">C0050</t>
  </si>
  <si>
    <t xml:space="preserve">mira.gupta.50@example.com</t>
  </si>
  <si>
    <t xml:space="preserve">C0051</t>
  </si>
  <si>
    <t xml:space="preserve">Yash Bose</t>
  </si>
  <si>
    <t xml:space="preserve">yash.bose.51@example.com</t>
  </si>
  <si>
    <t xml:space="preserve">C0052</t>
  </si>
  <si>
    <t xml:space="preserve">Dev Khanna</t>
  </si>
  <si>
    <t xml:space="preserve">dev.khanna.52@example.com</t>
  </si>
  <si>
    <t xml:space="preserve">C0053</t>
  </si>
  <si>
    <t xml:space="preserve">zoya.iyer.53@example.com</t>
  </si>
  <si>
    <t xml:space="preserve">C0054</t>
  </si>
  <si>
    <t xml:space="preserve">Aarav Sharma</t>
  </si>
  <si>
    <t xml:space="preserve">aarav.sharma.54@example.com</t>
  </si>
  <si>
    <t xml:space="preserve">C0055</t>
  </si>
  <si>
    <t xml:space="preserve">aditya.mehta.55@example.com</t>
  </si>
  <si>
    <t xml:space="preserve">C0056</t>
  </si>
  <si>
    <t xml:space="preserve">Riya Mehta</t>
  </si>
  <si>
    <t xml:space="preserve">riya.mehta.56@example.com</t>
  </si>
  <si>
    <t xml:space="preserve">C0057</t>
  </si>
  <si>
    <t xml:space="preserve">Dev Gupta</t>
  </si>
  <si>
    <t xml:space="preserve">dev.gupta.57@example.com</t>
  </si>
  <si>
    <t xml:space="preserve">C0058</t>
  </si>
  <si>
    <t xml:space="preserve">Dev Chopra</t>
  </si>
  <si>
    <t xml:space="preserve">dev.chopra.58@example.com</t>
  </si>
  <si>
    <t xml:space="preserve">C0059</t>
  </si>
  <si>
    <t xml:space="preserve">ishaan.khanna.59@example.com</t>
  </si>
  <si>
    <t xml:space="preserve">C0060</t>
  </si>
  <si>
    <t xml:space="preserve">Mira Verma</t>
  </si>
  <si>
    <t xml:space="preserve">mira.verma.60@example.com</t>
  </si>
  <si>
    <t xml:space="preserve">C0061</t>
  </si>
  <si>
    <t xml:space="preserve">Riya Nair</t>
  </si>
  <si>
    <t xml:space="preserve">riya.nair.61@example.com</t>
  </si>
  <si>
    <t xml:space="preserve">C0062</t>
  </si>
  <si>
    <t xml:space="preserve">Aarav Reddy</t>
  </si>
  <si>
    <t xml:space="preserve">aarav.reddy.62@example.com</t>
  </si>
  <si>
    <t xml:space="preserve">C0063</t>
  </si>
  <si>
    <t xml:space="preserve">Mira Joshi</t>
  </si>
  <si>
    <t xml:space="preserve">mira.joshi.63@example.com</t>
  </si>
  <si>
    <t xml:space="preserve">C0064</t>
  </si>
  <si>
    <t xml:space="preserve">Yash Joshi</t>
  </si>
  <si>
    <t xml:space="preserve">yash.joshi.64@example.com</t>
  </si>
  <si>
    <t xml:space="preserve">C0065</t>
  </si>
  <si>
    <t xml:space="preserve">Aditya Rao</t>
  </si>
  <si>
    <t xml:space="preserve">aditya.rao.65@example.com</t>
  </si>
  <si>
    <t xml:space="preserve">C0066</t>
  </si>
  <si>
    <t xml:space="preserve">neel.mehta.66@example.com</t>
  </si>
  <si>
    <t xml:space="preserve">C0067</t>
  </si>
  <si>
    <t xml:space="preserve">Kiara Sharma</t>
  </si>
  <si>
    <t xml:space="preserve">kiara.sharma.67@example.com</t>
  </si>
  <si>
    <t xml:space="preserve">C0068</t>
  </si>
  <si>
    <t xml:space="preserve">Vivaan Reddy</t>
  </si>
  <si>
    <t xml:space="preserve">vivaan.reddy.68@example.com</t>
  </si>
  <si>
    <t xml:space="preserve">C0069</t>
  </si>
  <si>
    <t xml:space="preserve">Vivaan Khanna</t>
  </si>
  <si>
    <t xml:space="preserve">vivaan.khanna.69@example.com</t>
  </si>
  <si>
    <t xml:space="preserve">C0070</t>
  </si>
  <si>
    <t xml:space="preserve">Aditya Sharma</t>
  </si>
  <si>
    <t xml:space="preserve">aditya.sharma.70@example.com</t>
  </si>
  <si>
    <t xml:space="preserve">C0071</t>
  </si>
  <si>
    <t xml:space="preserve">Anaya Verma</t>
  </si>
  <si>
    <t xml:space="preserve">anaya.verma.71@example.com</t>
  </si>
  <si>
    <t xml:space="preserve">C0072</t>
  </si>
  <si>
    <t xml:space="preserve">Ishaan Malik</t>
  </si>
  <si>
    <t xml:space="preserve">ishaan.malik.72@example.com</t>
  </si>
  <si>
    <t xml:space="preserve">C0073</t>
  </si>
  <si>
    <t xml:space="preserve">Rohan Nair</t>
  </si>
  <si>
    <t xml:space="preserve">rohan.nair.73@example.com</t>
  </si>
  <si>
    <t xml:space="preserve">C0074</t>
  </si>
  <si>
    <t xml:space="preserve">Kiara Khanna</t>
  </si>
  <si>
    <t xml:space="preserve">kiara.khanna.74@example.com</t>
  </si>
  <si>
    <t xml:space="preserve">C0075</t>
  </si>
  <si>
    <t xml:space="preserve">Arjun Chopra</t>
  </si>
  <si>
    <t xml:space="preserve">arjun.chopra.75@example.com</t>
  </si>
  <si>
    <t xml:space="preserve">C0076</t>
  </si>
  <si>
    <t xml:space="preserve">kiara.mehta.76@example.com</t>
  </si>
  <si>
    <t xml:space="preserve">C0077</t>
  </si>
  <si>
    <t xml:space="preserve">Mira Sharma</t>
  </si>
  <si>
    <t xml:space="preserve">mira.sharma.77@example.com</t>
  </si>
  <si>
    <t xml:space="preserve">C0078</t>
  </si>
  <si>
    <t xml:space="preserve">Kiara Malik</t>
  </si>
  <si>
    <t xml:space="preserve">kiara.malik.78@example.com</t>
  </si>
  <si>
    <t xml:space="preserve">C0079</t>
  </si>
  <si>
    <t xml:space="preserve">Aditya Iyer</t>
  </si>
  <si>
    <t xml:space="preserve">aditya.iyer.79@example.com</t>
  </si>
  <si>
    <t xml:space="preserve">C0080</t>
  </si>
  <si>
    <t xml:space="preserve">Dev Singh</t>
  </si>
  <si>
    <t xml:space="preserve">dev.singh.80@example.com</t>
  </si>
  <si>
    <t xml:space="preserve">C0081</t>
  </si>
  <si>
    <t xml:space="preserve">Isha Mehta</t>
  </si>
  <si>
    <t xml:space="preserve">isha.mehta.81@example.com</t>
  </si>
  <si>
    <t xml:space="preserve">C0082</t>
  </si>
  <si>
    <t xml:space="preserve">Zoya Singh</t>
  </si>
  <si>
    <t xml:space="preserve">zoya.singh.82@example.com</t>
  </si>
  <si>
    <t xml:space="preserve">C0083</t>
  </si>
  <si>
    <t xml:space="preserve">mira.gupta.83@example.com</t>
  </si>
  <si>
    <t xml:space="preserve">C0084</t>
  </si>
  <si>
    <t xml:space="preserve">Meera Reddy</t>
  </si>
  <si>
    <t xml:space="preserve">meera.reddy.84@example.com</t>
  </si>
  <si>
    <t xml:space="preserve">C0085</t>
  </si>
  <si>
    <t xml:space="preserve">Arjun Reddy</t>
  </si>
  <si>
    <t xml:space="preserve">arjun.reddy.85@example.com</t>
  </si>
  <si>
    <t xml:space="preserve">C0086</t>
  </si>
  <si>
    <t xml:space="preserve">Rohan Gupta</t>
  </si>
  <si>
    <t xml:space="preserve">rohan.gupta.86@example.com</t>
  </si>
  <si>
    <t xml:space="preserve">C0087</t>
  </si>
  <si>
    <t xml:space="preserve">Anaya Kapoor</t>
  </si>
  <si>
    <t xml:space="preserve">anaya.kapoor.87@example.com</t>
  </si>
  <si>
    <t xml:space="preserve">C0088</t>
  </si>
  <si>
    <t xml:space="preserve">aditya.rao.88@example.com</t>
  </si>
  <si>
    <t xml:space="preserve">C0089</t>
  </si>
  <si>
    <t xml:space="preserve">Kabir Gupta</t>
  </si>
  <si>
    <t xml:space="preserve">kabir.gupta.89@example.com</t>
  </si>
  <si>
    <t xml:space="preserve">C0090</t>
  </si>
  <si>
    <t xml:space="preserve">Zoya Khanna</t>
  </si>
  <si>
    <t xml:space="preserve">zoya.khanna.90@example.com</t>
  </si>
  <si>
    <t xml:space="preserve">C0091</t>
  </si>
  <si>
    <t xml:space="preserve">Kabir Malik</t>
  </si>
  <si>
    <t xml:space="preserve">kabir.malik.91@example.com</t>
  </si>
  <si>
    <t xml:space="preserve">C0092</t>
  </si>
  <si>
    <t xml:space="preserve">Riya Verma</t>
  </si>
  <si>
    <t xml:space="preserve">riya.verma.92@example.com</t>
  </si>
  <si>
    <t xml:space="preserve">C0093</t>
  </si>
  <si>
    <t xml:space="preserve">Zoya Joshi</t>
  </si>
  <si>
    <t xml:space="preserve">zoya.joshi.93@example.com</t>
  </si>
  <si>
    <t xml:space="preserve">C0094</t>
  </si>
  <si>
    <t xml:space="preserve">Mira Khanna</t>
  </si>
  <si>
    <t xml:space="preserve">mira.khanna.94@example.com</t>
  </si>
  <si>
    <t xml:space="preserve">C0095</t>
  </si>
  <si>
    <t xml:space="preserve">Anaya Malik</t>
  </si>
  <si>
    <t xml:space="preserve">anaya.malik.95@example.com</t>
  </si>
  <si>
    <t xml:space="preserve">C0096</t>
  </si>
  <si>
    <t xml:space="preserve">dev.chopra.96@example.com</t>
  </si>
  <si>
    <t xml:space="preserve">C0097</t>
  </si>
  <si>
    <t xml:space="preserve">Tara Nair</t>
  </si>
  <si>
    <t xml:space="preserve">tara.nair.97@example.com</t>
  </si>
  <si>
    <t xml:space="preserve">C0098</t>
  </si>
  <si>
    <t xml:space="preserve">mira.sharma.98@example.com</t>
  </si>
  <si>
    <t xml:space="preserve">C0099</t>
  </si>
  <si>
    <t xml:space="preserve">mira.khanna.99@example.com</t>
  </si>
  <si>
    <t xml:space="preserve">C0100</t>
  </si>
  <si>
    <t xml:space="preserve">Vivaan Singh</t>
  </si>
  <si>
    <t xml:space="preserve">vivaan.singh.100@example.com</t>
  </si>
  <si>
    <t xml:space="preserve">C0101</t>
  </si>
  <si>
    <t xml:space="preserve">Zoya Kapoor</t>
  </si>
  <si>
    <t xml:space="preserve">zoya.kapoor.101@example.com</t>
  </si>
  <si>
    <t xml:space="preserve">C0102</t>
  </si>
  <si>
    <t xml:space="preserve">anaya.reddy.102@example.com</t>
  </si>
  <si>
    <t xml:space="preserve">C0103</t>
  </si>
  <si>
    <t xml:space="preserve">Riya Reddy</t>
  </si>
  <si>
    <t xml:space="preserve">riya.reddy.103@example.com</t>
  </si>
  <si>
    <t xml:space="preserve">C0104</t>
  </si>
  <si>
    <t xml:space="preserve">Ishaan Joshi</t>
  </si>
  <si>
    <t xml:space="preserve">ishaan.joshi.104@example.com</t>
  </si>
  <si>
    <t xml:space="preserve">C0105</t>
  </si>
  <si>
    <t xml:space="preserve">Sara Joshi</t>
  </si>
  <si>
    <t xml:space="preserve">sara.joshi.105@example.com</t>
  </si>
  <si>
    <t xml:space="preserve">C0106</t>
  </si>
  <si>
    <t xml:space="preserve">mira.khanna.106@example.com</t>
  </si>
  <si>
    <t xml:space="preserve">C0107</t>
  </si>
  <si>
    <t xml:space="preserve">Anaya Rao</t>
  </si>
  <si>
    <t xml:space="preserve">anaya.rao.107@example.com</t>
  </si>
  <si>
    <t xml:space="preserve">C0108</t>
  </si>
  <si>
    <t xml:space="preserve">Yash Malik</t>
  </si>
  <si>
    <t xml:space="preserve">yash.malik.108@example.com</t>
  </si>
  <si>
    <t xml:space="preserve">C0109</t>
  </si>
  <si>
    <t xml:space="preserve">Dev Verma</t>
  </si>
  <si>
    <t xml:space="preserve">dev.verma.109@example.com</t>
  </si>
  <si>
    <t xml:space="preserve">C0110</t>
  </si>
  <si>
    <t xml:space="preserve">Kabir Khanna</t>
  </si>
  <si>
    <t xml:space="preserve">kabir.khanna.110@example.com</t>
  </si>
  <si>
    <t xml:space="preserve">C0111</t>
  </si>
  <si>
    <t xml:space="preserve">Yash Iyer</t>
  </si>
  <si>
    <t xml:space="preserve">yash.iyer.111@example.com</t>
  </si>
  <si>
    <t xml:space="preserve">C0112</t>
  </si>
  <si>
    <t xml:space="preserve">Kabir Nair</t>
  </si>
  <si>
    <t xml:space="preserve">kabir.nair.112@example.com</t>
  </si>
  <si>
    <t xml:space="preserve">C0113</t>
  </si>
  <si>
    <t xml:space="preserve">neel.kapoor.113@example.com</t>
  </si>
  <si>
    <t xml:space="preserve">C0114</t>
  </si>
  <si>
    <t xml:space="preserve">Aditya Malik</t>
  </si>
  <si>
    <t xml:space="preserve">aditya.malik.114@example.com</t>
  </si>
  <si>
    <t xml:space="preserve">C0115</t>
  </si>
  <si>
    <t xml:space="preserve">Kiara Chopra</t>
  </si>
  <si>
    <t xml:space="preserve">kiara.chopra.115@example.com</t>
  </si>
  <si>
    <t xml:space="preserve">C0116</t>
  </si>
  <si>
    <t xml:space="preserve">dev.chopra.116@example.com</t>
  </si>
  <si>
    <t xml:space="preserve">C0117</t>
  </si>
  <si>
    <t xml:space="preserve">Sara Malik</t>
  </si>
  <si>
    <t xml:space="preserve">sara.malik.117@example.com</t>
  </si>
  <si>
    <t xml:space="preserve">C0118</t>
  </si>
  <si>
    <t xml:space="preserve">Anaya Nair</t>
  </si>
  <si>
    <t xml:space="preserve">anaya.nair.118@example.com</t>
  </si>
  <si>
    <t xml:space="preserve">C0119</t>
  </si>
  <si>
    <t xml:space="preserve">yash.singh.119@example.com</t>
  </si>
  <si>
    <t xml:space="preserve">C0120</t>
  </si>
  <si>
    <t xml:space="preserve">anaya.rao.120@example.com</t>
  </si>
  <si>
    <t xml:space="preserve">Recruitment Tracker: how to use</t>
  </si>
  <si>
    <t xml:space="preserve">Candidates sheet</t>
  </si>
  <si>
    <t xml:space="preserve">Blue text (columns A to M) is typed by the recruiter. Black text (columns N to P) is calculated. Do not overwrite black cells.</t>
  </si>
  <si>
    <t xml:space="preserve">Role, Source, Recruiter, Stage and Outcome use dropdown lists. Edit the allowed values on the Lists sheet.</t>
  </si>
  <si>
    <t xml:space="preserve">Stage = the furthest stage the candidate has reached. Outcome = the current status (In Progress, Rejected, Withdrawn, Joined).</t>
  </si>
  <si>
    <t xml:space="preserve">Add new candidates in the next empty row. Formulas and dropdowns are ready down to row 500.</t>
  </si>
  <si>
    <t xml:space="preserve">Amber Days to Screen means the candidate waited longer than the SLA set on the Dashboard (cell B4).</t>
  </si>
  <si>
    <t xml:space="preserve">Dashboard sheet</t>
  </si>
  <si>
    <t xml:space="preserve">Every number is a formula. Nothing needs refreshing. Yellow cell B4 is the only editable assumption.</t>
  </si>
  <si>
    <t xml:space="preserve">About the data</t>
  </si>
  <si>
    <t xml:space="preserve">All 120 candidates are synthetic (fictional names, example.com emails). Generated by src/generate_sample_data.py.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</si>
</sst>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%"/>
    <numFmt numFmtId="168" formatCode="dd\-mmm\-yyyy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84C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22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b val="true"/>
      <sz val="12"/>
      <color rgb="FF12284C"/>
      <name val="Arial"/>
      <family val="0"/>
      <charset val="1"/>
    </font>
    <font>
      <b val="true"/>
      <sz val="10"/>
      <color rgb="FF12284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2284C"/>
        <bgColor rgb="FF333333"/>
      </patternFill>
    </fill>
    <fill>
      <patternFill patternType="solid">
        <fgColor rgb="FF0A7EA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228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A7EA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A7EA4"/>
      <rgbColor rgb="FFBFBFBF"/>
      <rgbColor rgb="FF878787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2284C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Hiring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Dashboard!$A$13:$A$17</c:f>
              <c:strCache>
                <c:ptCount val="5"/>
                <c:pt idx="0">
                  <c:v>Applied</c:v>
                </c:pt>
                <c:pt idx="1">
                  <c:v>Screened</c:v>
                </c:pt>
                <c:pt idx="2">
                  <c:v>Interviewed</c:v>
                </c:pt>
                <c:pt idx="3">
                  <c:v>Offered</c:v>
                </c:pt>
                <c:pt idx="4">
                  <c:v>Joined</c:v>
                </c:pt>
              </c:strCache>
            </c:strRef>
          </c:cat>
          <c:val>
            <c:numRef>
              <c:f>Dashboard!$C$13:$C$17</c:f>
              <c:numCache>
                <c:formatCode>General</c:formatCode>
                <c:ptCount val="5"/>
                <c:pt idx="0">
                  <c:v>120</c:v>
                </c:pt>
                <c:pt idx="1">
                  <c:v>78</c:v>
                </c:pt>
                <c:pt idx="2">
                  <c:v>47</c:v>
                </c:pt>
                <c:pt idx="3">
                  <c:v>17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82990616"/>
        <c:axId val="83927140"/>
      </c:barChart>
      <c:catAx>
        <c:axId val="8299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27140"/>
        <c:crosses val="autoZero"/>
        <c:auto val="1"/>
        <c:lblAlgn val="ctr"/>
        <c:lblOffset val="100"/>
        <c:noMultiLvlLbl val="0"/>
      </c:catAx>
      <c:valAx>
        <c:axId val="83927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Candidates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90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15</xdr:col>
      <xdr:colOff>399240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899928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5</v>
      </c>
      <c r="C4" s="2" t="s">
        <v>3</v>
      </c>
    </row>
    <row r="5" customFormat="false" ht="15" hidden="false" customHeight="false" outlineLevel="0" collapsed="false">
      <c r="A5" s="3" t="s">
        <v>4</v>
      </c>
      <c r="B5" s="5" t="n">
        <f aca="false">COUNTA(Candidates!$A$2:$A$500)</f>
        <v>120</v>
      </c>
    </row>
    <row r="6" customFormat="false" ht="15" hidden="false" customHeight="false" outlineLevel="0" collapsed="false">
      <c r="A6" s="3" t="s">
        <v>5</v>
      </c>
      <c r="B6" s="5" t="n">
        <f aca="false">COUNTIF(Candidates!$L$2:$L$500,"In Progress")</f>
        <v>40</v>
      </c>
    </row>
    <row r="7" customFormat="false" ht="15" hidden="false" customHeight="false" outlineLevel="0" collapsed="false">
      <c r="A7" s="3" t="s">
        <v>6</v>
      </c>
      <c r="B7" s="6" t="n">
        <f aca="false">IFERROR(AVERAGE(Candidates!$O$2:$O$500),0)</f>
        <v>4.82051282051282</v>
      </c>
    </row>
    <row r="8" customFormat="false" ht="15" hidden="false" customHeight="false" outlineLevel="0" collapsed="false">
      <c r="A8" s="3" t="s">
        <v>7</v>
      </c>
      <c r="B8" s="6" t="n">
        <f aca="false">IFERROR(AVERAGE(Candidates!$P$2:$P$500),0)</f>
        <v>15.3529411764706</v>
      </c>
    </row>
    <row r="9" customFormat="false" ht="15" hidden="false" customHeight="false" outlineLevel="0" collapsed="false">
      <c r="A9" s="3" t="s">
        <v>8</v>
      </c>
      <c r="B9" s="7" t="n">
        <f aca="false">IFERROR(COUNTIFS(Candidates!$O$2:$O$500,"&lt;="&amp;B4)/COUNT(Candidates!$O$2:$O$500),0)</f>
        <v>0.602564102564103</v>
      </c>
    </row>
    <row r="11" customFormat="false" ht="15" hidden="false" customHeight="false" outlineLevel="0" collapsed="false">
      <c r="A11" s="8" t="s">
        <v>9</v>
      </c>
    </row>
    <row r="12" customFormat="false" ht="15" hidden="false" customHeight="false" outlineLevel="0" collapsed="false">
      <c r="A12" s="9" t="s">
        <v>10</v>
      </c>
      <c r="B12" s="9" t="s">
        <v>11</v>
      </c>
      <c r="C12" s="9" t="s">
        <v>12</v>
      </c>
      <c r="D12" s="9" t="s">
        <v>13</v>
      </c>
      <c r="E12" s="9" t="s">
        <v>14</v>
      </c>
    </row>
    <row r="13" customFormat="false" ht="15" hidden="false" customHeight="false" outlineLevel="0" collapsed="false">
      <c r="A13" s="10" t="s">
        <v>15</v>
      </c>
      <c r="B13" s="10" t="n">
        <v>1</v>
      </c>
      <c r="C13" s="10" t="n">
        <f aca="false">COUNTIF(Candidates!$N$2:$N$500,"&gt;="&amp;B13)</f>
        <v>120</v>
      </c>
      <c r="D13" s="11"/>
      <c r="E13" s="11" t="n">
        <f aca="false">IFERROR(C13/C$13,0)</f>
        <v>1</v>
      </c>
    </row>
    <row r="14" customFormat="false" ht="15" hidden="false" customHeight="false" outlineLevel="0" collapsed="false">
      <c r="A14" s="10" t="s">
        <v>16</v>
      </c>
      <c r="B14" s="10" t="n">
        <v>2</v>
      </c>
      <c r="C14" s="10" t="n">
        <f aca="false">COUNTIF(Candidates!$N$2:$N$500,"&gt;="&amp;B14)</f>
        <v>78</v>
      </c>
      <c r="D14" s="11" t="n">
        <f aca="false">IFERROR(C14/C13,0)</f>
        <v>0.65</v>
      </c>
      <c r="E14" s="11" t="n">
        <f aca="false">IFERROR(C14/C$13,0)</f>
        <v>0.65</v>
      </c>
    </row>
    <row r="15" customFormat="false" ht="15" hidden="false" customHeight="false" outlineLevel="0" collapsed="false">
      <c r="A15" s="10" t="s">
        <v>17</v>
      </c>
      <c r="B15" s="10" t="n">
        <v>3</v>
      </c>
      <c r="C15" s="10" t="n">
        <f aca="false">COUNTIF(Candidates!$N$2:$N$500,"&gt;="&amp;B15)</f>
        <v>47</v>
      </c>
      <c r="D15" s="11" t="n">
        <f aca="false">IFERROR(C15/C14,0)</f>
        <v>0.602564102564103</v>
      </c>
      <c r="E15" s="11" t="n">
        <f aca="false">IFERROR(C15/C$13,0)</f>
        <v>0.391666666666667</v>
      </c>
    </row>
    <row r="16" customFormat="false" ht="15" hidden="false" customHeight="false" outlineLevel="0" collapsed="false">
      <c r="A16" s="10" t="s">
        <v>18</v>
      </c>
      <c r="B16" s="10" t="n">
        <v>4</v>
      </c>
      <c r="C16" s="10" t="n">
        <f aca="false">COUNTIF(Candidates!$N$2:$N$500,"&gt;="&amp;B16)</f>
        <v>17</v>
      </c>
      <c r="D16" s="11" t="n">
        <f aca="false">IFERROR(C16/C15,0)</f>
        <v>0.361702127659575</v>
      </c>
      <c r="E16" s="11" t="n">
        <f aca="false">IFERROR(C16/C$13,0)</f>
        <v>0.141666666666667</v>
      </c>
    </row>
    <row r="17" customFormat="false" ht="15" hidden="false" customHeight="false" outlineLevel="0" collapsed="false">
      <c r="A17" s="10" t="s">
        <v>19</v>
      </c>
      <c r="B17" s="10" t="n">
        <v>5</v>
      </c>
      <c r="C17" s="10" t="n">
        <f aca="false">COUNTIF(Candidates!$N$2:$N$500,"&gt;="&amp;B17)</f>
        <v>6</v>
      </c>
      <c r="D17" s="11" t="n">
        <f aca="false">IFERROR(C17/C16,0)</f>
        <v>0.352941176470588</v>
      </c>
      <c r="E17" s="11" t="n">
        <f aca="false">IFERROR(C17/C$13,0)</f>
        <v>0.05</v>
      </c>
    </row>
    <row r="20" customFormat="false" ht="15" hidden="false" customHeight="false" outlineLevel="0" collapsed="false">
      <c r="A20" s="8" t="s">
        <v>20</v>
      </c>
    </row>
    <row r="21" customFormat="false" ht="15" hidden="false" customHeight="false" outlineLevel="0" collapsed="false">
      <c r="A21" s="9" t="s">
        <v>21</v>
      </c>
      <c r="B21" s="9" t="s">
        <v>22</v>
      </c>
      <c r="C21" s="9" t="s">
        <v>23</v>
      </c>
      <c r="D21" s="9" t="s">
        <v>24</v>
      </c>
      <c r="E21" s="9" t="s">
        <v>19</v>
      </c>
      <c r="F21" s="9" t="s">
        <v>25</v>
      </c>
      <c r="G21" s="9" t="s">
        <v>26</v>
      </c>
    </row>
    <row r="22" customFormat="false" ht="15" hidden="false" customHeight="false" outlineLevel="0" collapsed="false">
      <c r="A22" s="10" t="s">
        <v>27</v>
      </c>
      <c r="B22" s="10" t="n">
        <f aca="false">COUNTIF(Candidates!$E$2:$E$500,A22)</f>
        <v>35</v>
      </c>
      <c r="C22" s="10" t="n">
        <f aca="false">COUNTIFS(Candidates!$E$2:$E$500,A22,Candidates!$N$2:$N$500,"&gt;=3")</f>
        <v>15</v>
      </c>
      <c r="D22" s="10" t="n">
        <f aca="false">COUNTIFS(Candidates!$E$2:$E$500,A22,Candidates!$N$2:$N$500,"&gt;=4")</f>
        <v>4</v>
      </c>
      <c r="E22" s="10" t="n">
        <f aca="false">COUNTIFS(Candidates!$E$2:$E$500,A22,Candidates!$L$2:$L$500,"Joined")</f>
        <v>1</v>
      </c>
      <c r="F22" s="11" t="n">
        <f aca="false">IFERROR(C22/B22,0)</f>
        <v>0.428571428571429</v>
      </c>
      <c r="G22" s="11" t="n">
        <f aca="false">IFERROR(D22/B22,0)</f>
        <v>0.114285714285714</v>
      </c>
    </row>
    <row r="23" customFormat="false" ht="15" hidden="false" customHeight="false" outlineLevel="0" collapsed="false">
      <c r="A23" s="10" t="s">
        <v>28</v>
      </c>
      <c r="B23" s="10" t="n">
        <f aca="false">COUNTIF(Candidates!$E$2:$E$500,A23)</f>
        <v>23</v>
      </c>
      <c r="C23" s="10" t="n">
        <f aca="false">COUNTIFS(Candidates!$E$2:$E$500,A23,Candidates!$N$2:$N$500,"&gt;=3")</f>
        <v>10</v>
      </c>
      <c r="D23" s="10" t="n">
        <f aca="false">COUNTIFS(Candidates!$E$2:$E$500,A23,Candidates!$N$2:$N$500,"&gt;=4")</f>
        <v>4</v>
      </c>
      <c r="E23" s="10" t="n">
        <f aca="false">COUNTIFS(Candidates!$E$2:$E$500,A23,Candidates!$L$2:$L$500,"Joined")</f>
        <v>1</v>
      </c>
      <c r="F23" s="11" t="n">
        <f aca="false">IFERROR(C23/B23,0)</f>
        <v>0.434782608695652</v>
      </c>
      <c r="G23" s="11" t="n">
        <f aca="false">IFERROR(D23/B23,0)</f>
        <v>0.173913043478261</v>
      </c>
    </row>
    <row r="24" customFormat="false" ht="15" hidden="false" customHeight="false" outlineLevel="0" collapsed="false">
      <c r="A24" s="10" t="s">
        <v>29</v>
      </c>
      <c r="B24" s="10" t="n">
        <f aca="false">COUNTIF(Candidates!$E$2:$E$500,A24)</f>
        <v>24</v>
      </c>
      <c r="C24" s="10" t="n">
        <f aca="false">COUNTIFS(Candidates!$E$2:$E$500,A24,Candidates!$N$2:$N$500,"&gt;=3")</f>
        <v>10</v>
      </c>
      <c r="D24" s="10" t="n">
        <f aca="false">COUNTIFS(Candidates!$E$2:$E$500,A24,Candidates!$N$2:$N$500,"&gt;=4")</f>
        <v>3</v>
      </c>
      <c r="E24" s="10" t="n">
        <f aca="false">COUNTIFS(Candidates!$E$2:$E$500,A24,Candidates!$L$2:$L$500,"Joined")</f>
        <v>1</v>
      </c>
      <c r="F24" s="11" t="n">
        <f aca="false">IFERROR(C24/B24,0)</f>
        <v>0.416666666666667</v>
      </c>
      <c r="G24" s="11" t="n">
        <f aca="false">IFERROR(D24/B24,0)</f>
        <v>0.125</v>
      </c>
    </row>
    <row r="25" customFormat="false" ht="15" hidden="false" customHeight="false" outlineLevel="0" collapsed="false">
      <c r="A25" s="10" t="s">
        <v>30</v>
      </c>
      <c r="B25" s="10" t="n">
        <f aca="false">COUNTIF(Candidates!$E$2:$E$500,A25)</f>
        <v>16</v>
      </c>
      <c r="C25" s="10" t="n">
        <f aca="false">COUNTIFS(Candidates!$E$2:$E$500,A25,Candidates!$N$2:$N$500,"&gt;=3")</f>
        <v>3</v>
      </c>
      <c r="D25" s="10" t="n">
        <f aca="false">COUNTIFS(Candidates!$E$2:$E$500,A25,Candidates!$N$2:$N$500,"&gt;=4")</f>
        <v>2</v>
      </c>
      <c r="E25" s="10" t="n">
        <f aca="false">COUNTIFS(Candidates!$E$2:$E$500,A25,Candidates!$L$2:$L$500,"Joined")</f>
        <v>1</v>
      </c>
      <c r="F25" s="11" t="n">
        <f aca="false">IFERROR(C25/B25,0)</f>
        <v>0.1875</v>
      </c>
      <c r="G25" s="11" t="n">
        <f aca="false">IFERROR(D25/B25,0)</f>
        <v>0.125</v>
      </c>
    </row>
    <row r="26" customFormat="false" ht="15" hidden="false" customHeight="false" outlineLevel="0" collapsed="false">
      <c r="A26" s="10" t="s">
        <v>31</v>
      </c>
      <c r="B26" s="10" t="n">
        <f aca="false">COUNTIF(Candidates!$E$2:$E$500,A26)</f>
        <v>22</v>
      </c>
      <c r="C26" s="10" t="n">
        <f aca="false">COUNTIFS(Candidates!$E$2:$E$500,A26,Candidates!$N$2:$N$500,"&gt;=3")</f>
        <v>9</v>
      </c>
      <c r="D26" s="10" t="n">
        <f aca="false">COUNTIFS(Candidates!$E$2:$E$500,A26,Candidates!$N$2:$N$500,"&gt;=4")</f>
        <v>4</v>
      </c>
      <c r="E26" s="10" t="n">
        <f aca="false">COUNTIFS(Candidates!$E$2:$E$500,A26,Candidates!$L$2:$L$500,"Joined")</f>
        <v>2</v>
      </c>
      <c r="F26" s="11" t="n">
        <f aca="false">IFERROR(C26/B26,0)</f>
        <v>0.409090909090909</v>
      </c>
      <c r="G26" s="11" t="n">
        <f aca="false">IFERROR(D26/B26,0)</f>
        <v>0.181818181818182</v>
      </c>
    </row>
    <row r="29" customFormat="false" ht="15" hidden="false" customHeight="false" outlineLevel="0" collapsed="false">
      <c r="A29" s="8" t="s">
        <v>32</v>
      </c>
    </row>
    <row r="30" customFormat="false" ht="15" hidden="false" customHeight="false" outlineLevel="0" collapsed="false">
      <c r="A30" s="9" t="s">
        <v>33</v>
      </c>
      <c r="B30" s="9" t="s">
        <v>22</v>
      </c>
      <c r="C30" s="9" t="s">
        <v>34</v>
      </c>
      <c r="D30" s="9" t="s">
        <v>35</v>
      </c>
      <c r="E30" s="9" t="s">
        <v>36</v>
      </c>
      <c r="F30" s="9" t="s">
        <v>19</v>
      </c>
    </row>
    <row r="31" customFormat="false" ht="15" hidden="false" customHeight="false" outlineLevel="0" collapsed="false">
      <c r="A31" s="10" t="s">
        <v>37</v>
      </c>
      <c r="B31" s="10" t="n">
        <f aca="false">COUNTIF(Candidates!$D$2:$D$500,A31)</f>
        <v>16</v>
      </c>
      <c r="C31" s="10" t="n">
        <f aca="false">COUNTIFS(Candidates!$D$2:$D$500,$A31,Candidates!$L$2:$L$500,"In Progress")</f>
        <v>7</v>
      </c>
      <c r="D31" s="10" t="n">
        <f aca="false">COUNTIFS(Candidates!$D$2:$D$500,$A31,Candidates!$L$2:$L$500,"Rejected")</f>
        <v>9</v>
      </c>
      <c r="E31" s="10" t="n">
        <f aca="false">COUNTIFS(Candidates!$D$2:$D$500,$A31,Candidates!$L$2:$L$500,"Withdrawn")</f>
        <v>0</v>
      </c>
      <c r="F31" s="10" t="n">
        <f aca="false">COUNTIFS(Candidates!$D$2:$D$500,$A31,Candidates!$L$2:$L$500,"Joined")</f>
        <v>0</v>
      </c>
    </row>
    <row r="32" customFormat="false" ht="15" hidden="false" customHeight="false" outlineLevel="0" collapsed="false">
      <c r="A32" s="10" t="s">
        <v>38</v>
      </c>
      <c r="B32" s="10" t="n">
        <f aca="false">COUNTIF(Candidates!$D$2:$D$500,A32)</f>
        <v>25</v>
      </c>
      <c r="C32" s="10" t="n">
        <f aca="false">COUNTIFS(Candidates!$D$2:$D$500,$A32,Candidates!$L$2:$L$500,"In Progress")</f>
        <v>4</v>
      </c>
      <c r="D32" s="10" t="n">
        <f aca="false">COUNTIFS(Candidates!$D$2:$D$500,$A32,Candidates!$L$2:$L$500,"Rejected")</f>
        <v>16</v>
      </c>
      <c r="E32" s="10" t="n">
        <f aca="false">COUNTIFS(Candidates!$D$2:$D$500,$A32,Candidates!$L$2:$L$500,"Withdrawn")</f>
        <v>3</v>
      </c>
      <c r="F32" s="10" t="n">
        <f aca="false">COUNTIFS(Candidates!$D$2:$D$500,$A32,Candidates!$L$2:$L$500,"Joined")</f>
        <v>2</v>
      </c>
    </row>
    <row r="33" customFormat="false" ht="15" hidden="false" customHeight="false" outlineLevel="0" collapsed="false">
      <c r="A33" s="10" t="s">
        <v>39</v>
      </c>
      <c r="B33" s="10" t="n">
        <f aca="false">COUNTIF(Candidates!$D$2:$D$500,A33)</f>
        <v>20</v>
      </c>
      <c r="C33" s="10" t="n">
        <f aca="false">COUNTIFS(Candidates!$D$2:$D$500,$A33,Candidates!$L$2:$L$500,"In Progress")</f>
        <v>5</v>
      </c>
      <c r="D33" s="10" t="n">
        <f aca="false">COUNTIFS(Candidates!$D$2:$D$500,$A33,Candidates!$L$2:$L$500,"Rejected")</f>
        <v>9</v>
      </c>
      <c r="E33" s="10" t="n">
        <f aca="false">COUNTIFS(Candidates!$D$2:$D$500,$A33,Candidates!$L$2:$L$500,"Withdrawn")</f>
        <v>5</v>
      </c>
      <c r="F33" s="10" t="n">
        <f aca="false">COUNTIFS(Candidates!$D$2:$D$500,$A33,Candidates!$L$2:$L$500,"Joined")</f>
        <v>1</v>
      </c>
    </row>
    <row r="34" customFormat="false" ht="15" hidden="false" customHeight="false" outlineLevel="0" collapsed="false">
      <c r="A34" s="10" t="s">
        <v>40</v>
      </c>
      <c r="B34" s="10" t="n">
        <f aca="false">COUNTIF(Candidates!$D$2:$D$500,A34)</f>
        <v>33</v>
      </c>
      <c r="C34" s="10" t="n">
        <f aca="false">COUNTIFS(Candidates!$D$2:$D$500,$A34,Candidates!$L$2:$L$500,"In Progress")</f>
        <v>17</v>
      </c>
      <c r="D34" s="10" t="n">
        <f aca="false">COUNTIFS(Candidates!$D$2:$D$500,$A34,Candidates!$L$2:$L$500,"Rejected")</f>
        <v>14</v>
      </c>
      <c r="E34" s="10" t="n">
        <f aca="false">COUNTIFS(Candidates!$D$2:$D$500,$A34,Candidates!$L$2:$L$500,"Withdrawn")</f>
        <v>1</v>
      </c>
      <c r="F34" s="10" t="n">
        <f aca="false">COUNTIFS(Candidates!$D$2:$D$500,$A34,Candidates!$L$2:$L$500,"Joined")</f>
        <v>1</v>
      </c>
    </row>
    <row r="35" customFormat="false" ht="15" hidden="false" customHeight="false" outlineLevel="0" collapsed="false">
      <c r="A35" s="10" t="s">
        <v>41</v>
      </c>
      <c r="B35" s="10" t="n">
        <f aca="false">COUNTIF(Candidates!$D$2:$D$500,A35)</f>
        <v>26</v>
      </c>
      <c r="C35" s="10" t="n">
        <f aca="false">COUNTIFS(Candidates!$D$2:$D$500,$A35,Candidates!$L$2:$L$500,"In Progress")</f>
        <v>7</v>
      </c>
      <c r="D35" s="10" t="n">
        <f aca="false">COUNTIFS(Candidates!$D$2:$D$500,$A35,Candidates!$L$2:$L$500,"Rejected")</f>
        <v>13</v>
      </c>
      <c r="E35" s="10" t="n">
        <f aca="false">COUNTIFS(Candidates!$D$2:$D$500,$A35,Candidates!$L$2:$L$500,"Withdrawn")</f>
        <v>4</v>
      </c>
      <c r="F35" s="10" t="n">
        <f aca="false">COUNTIFS(Candidates!$D$2:$D$500,$A35,Candidates!$L$2:$L$500,"Joined")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7"/>
    <col collapsed="false" customWidth="true" hidden="false" outlineLevel="0" max="5" min="5" style="0" width="19"/>
    <col collapsed="false" customWidth="true" hidden="false" outlineLevel="0" max="10" min="6" style="0" width="14"/>
    <col collapsed="false" customWidth="true" hidden="false" outlineLevel="0" max="12" min="11" style="0" width="13"/>
    <col collapsed="false" customWidth="true" hidden="false" outlineLevel="0" max="13" min="13" style="0" width="22"/>
    <col collapsed="false" customWidth="true" hidden="false" outlineLevel="0" max="14" min="14" style="0" width="9"/>
    <col collapsed="false" customWidth="true" hidden="false" outlineLevel="0" max="16" min="15" style="0" width="11"/>
  </cols>
  <sheetData>
    <row r="1" customFormat="false" ht="30" hidden="false" customHeight="true" outlineLevel="0" collapsed="false">
      <c r="A1" s="9" t="s">
        <v>42</v>
      </c>
      <c r="B1" s="9" t="s">
        <v>43</v>
      </c>
      <c r="C1" s="9" t="s">
        <v>44</v>
      </c>
      <c r="D1" s="9" t="s">
        <v>33</v>
      </c>
      <c r="E1" s="9" t="s">
        <v>21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10</v>
      </c>
      <c r="L1" s="9" t="s">
        <v>50</v>
      </c>
      <c r="M1" s="9" t="s">
        <v>51</v>
      </c>
      <c r="N1" s="12" t="s">
        <v>11</v>
      </c>
      <c r="O1" s="12" t="s">
        <v>52</v>
      </c>
      <c r="P1" s="12" t="s">
        <v>53</v>
      </c>
    </row>
    <row r="2" customFormat="false" ht="15" hidden="false" customHeight="false" outlineLevel="0" collapsed="false">
      <c r="A2" s="13" t="s">
        <v>54</v>
      </c>
      <c r="B2" s="13" t="s">
        <v>55</v>
      </c>
      <c r="C2" s="13" t="s">
        <v>56</v>
      </c>
      <c r="D2" s="13" t="s">
        <v>41</v>
      </c>
      <c r="E2" s="13" t="s">
        <v>27</v>
      </c>
      <c r="F2" s="13" t="s">
        <v>57</v>
      </c>
      <c r="G2" s="14" t="n">
        <v>46205</v>
      </c>
      <c r="H2" s="14" t="n">
        <v>46209</v>
      </c>
      <c r="I2" s="14" t="n">
        <v>46213</v>
      </c>
      <c r="J2" s="14"/>
      <c r="K2" s="13" t="s">
        <v>17</v>
      </c>
      <c r="L2" s="13" t="s">
        <v>35</v>
      </c>
      <c r="M2" s="13"/>
      <c r="N2" s="15" t="n">
        <f aca="false">IFERROR(MATCH(K2,Lists!$A$2:$A$6,0),"")</f>
        <v>3</v>
      </c>
      <c r="O2" s="15" t="n">
        <f aca="false">IF(OR(G2="",H2=""),"",H2-G2)</f>
        <v>4</v>
      </c>
      <c r="P2" s="15" t="str">
        <f aca="false">IF(OR(G2="",J2=""),"",J2-G2)</f>
        <v/>
      </c>
    </row>
    <row r="3" customFormat="false" ht="15" hidden="false" customHeight="false" outlineLevel="0" collapsed="false">
      <c r="A3" s="13" t="s">
        <v>58</v>
      </c>
      <c r="B3" s="13" t="s">
        <v>59</v>
      </c>
      <c r="C3" s="13" t="s">
        <v>60</v>
      </c>
      <c r="D3" s="13" t="s">
        <v>37</v>
      </c>
      <c r="E3" s="13" t="s">
        <v>29</v>
      </c>
      <c r="F3" s="13" t="s">
        <v>61</v>
      </c>
      <c r="G3" s="14" t="n">
        <v>46203</v>
      </c>
      <c r="H3" s="14"/>
      <c r="I3" s="14"/>
      <c r="J3" s="14"/>
      <c r="K3" s="13" t="s">
        <v>15</v>
      </c>
      <c r="L3" s="13" t="s">
        <v>35</v>
      </c>
      <c r="M3" s="13"/>
      <c r="N3" s="15" t="n">
        <f aca="false">IFERROR(MATCH(K3,Lists!$A$2:$A$6,0),"")</f>
        <v>1</v>
      </c>
      <c r="O3" s="15" t="str">
        <f aca="false">IF(OR(G3="",H3=""),"",H3-G3)</f>
        <v/>
      </c>
      <c r="P3" s="15" t="str">
        <f aca="false">IF(OR(G3="",J3=""),"",J3-G3)</f>
        <v/>
      </c>
    </row>
    <row r="4" customFormat="false" ht="15" hidden="false" customHeight="false" outlineLevel="0" collapsed="false">
      <c r="A4" s="13" t="s">
        <v>62</v>
      </c>
      <c r="B4" s="13" t="s">
        <v>63</v>
      </c>
      <c r="C4" s="13" t="s">
        <v>64</v>
      </c>
      <c r="D4" s="13" t="s">
        <v>37</v>
      </c>
      <c r="E4" s="13" t="s">
        <v>30</v>
      </c>
      <c r="F4" s="13" t="s">
        <v>65</v>
      </c>
      <c r="G4" s="14" t="n">
        <v>46249</v>
      </c>
      <c r="H4" s="14"/>
      <c r="I4" s="14"/>
      <c r="J4" s="14"/>
      <c r="K4" s="13" t="s">
        <v>15</v>
      </c>
      <c r="L4" s="13" t="s">
        <v>34</v>
      </c>
      <c r="M4" s="13"/>
      <c r="N4" s="15" t="n">
        <f aca="false">IFERROR(MATCH(K4,Lists!$A$2:$A$6,0),"")</f>
        <v>1</v>
      </c>
      <c r="O4" s="15" t="str">
        <f aca="false">IF(OR(G4="",H4=""),"",H4-G4)</f>
        <v/>
      </c>
      <c r="P4" s="15" t="str">
        <f aca="false">IF(OR(G4="",J4=""),"",J4-G4)</f>
        <v/>
      </c>
    </row>
    <row r="5" customFormat="false" ht="15" hidden="false" customHeight="false" outlineLevel="0" collapsed="false">
      <c r="A5" s="13" t="s">
        <v>66</v>
      </c>
      <c r="B5" s="13" t="s">
        <v>67</v>
      </c>
      <c r="C5" s="13" t="s">
        <v>68</v>
      </c>
      <c r="D5" s="13" t="s">
        <v>39</v>
      </c>
      <c r="E5" s="13" t="s">
        <v>27</v>
      </c>
      <c r="F5" s="13" t="s">
        <v>57</v>
      </c>
      <c r="G5" s="14" t="n">
        <v>46201</v>
      </c>
      <c r="H5" s="14"/>
      <c r="I5" s="14"/>
      <c r="J5" s="14"/>
      <c r="K5" s="13" t="s">
        <v>15</v>
      </c>
      <c r="L5" s="13" t="s">
        <v>36</v>
      </c>
      <c r="M5" s="13"/>
      <c r="N5" s="15" t="n">
        <f aca="false">IFERROR(MATCH(K5,Lists!$A$2:$A$6,0),"")</f>
        <v>1</v>
      </c>
      <c r="O5" s="15" t="str">
        <f aca="false">IF(OR(G5="",H5=""),"",H5-G5)</f>
        <v/>
      </c>
      <c r="P5" s="15" t="str">
        <f aca="false">IF(OR(G5="",J5=""),"",J5-G5)</f>
        <v/>
      </c>
    </row>
    <row r="6" customFormat="false" ht="15" hidden="false" customHeight="false" outlineLevel="0" collapsed="false">
      <c r="A6" s="13" t="s">
        <v>69</v>
      </c>
      <c r="B6" s="13" t="s">
        <v>70</v>
      </c>
      <c r="C6" s="13" t="s">
        <v>71</v>
      </c>
      <c r="D6" s="13" t="s">
        <v>40</v>
      </c>
      <c r="E6" s="13" t="s">
        <v>27</v>
      </c>
      <c r="F6" s="13" t="s">
        <v>57</v>
      </c>
      <c r="G6" s="14" t="n">
        <v>46207</v>
      </c>
      <c r="H6" s="14" t="n">
        <v>46208</v>
      </c>
      <c r="I6" s="14" t="n">
        <v>46217</v>
      </c>
      <c r="J6" s="14" t="n">
        <v>46223</v>
      </c>
      <c r="K6" s="13" t="s">
        <v>18</v>
      </c>
      <c r="L6" s="13" t="s">
        <v>34</v>
      </c>
      <c r="M6" s="13"/>
      <c r="N6" s="15" t="n">
        <f aca="false">IFERROR(MATCH(K6,Lists!$A$2:$A$6,0),"")</f>
        <v>4</v>
      </c>
      <c r="O6" s="15" t="n">
        <f aca="false">IF(OR(G6="",H6=""),"",H6-G6)</f>
        <v>1</v>
      </c>
      <c r="P6" s="15" t="n">
        <f aca="false">IF(OR(G6="",J6=""),"",J6-G6)</f>
        <v>16</v>
      </c>
    </row>
    <row r="7" customFormat="false" ht="15" hidden="false" customHeight="false" outlineLevel="0" collapsed="false">
      <c r="A7" s="13" t="s">
        <v>72</v>
      </c>
      <c r="B7" s="13" t="s">
        <v>73</v>
      </c>
      <c r="C7" s="13" t="s">
        <v>74</v>
      </c>
      <c r="D7" s="13" t="s">
        <v>39</v>
      </c>
      <c r="E7" s="13" t="s">
        <v>31</v>
      </c>
      <c r="F7" s="13" t="s">
        <v>65</v>
      </c>
      <c r="G7" s="14" t="n">
        <v>46247</v>
      </c>
      <c r="H7" s="14" t="n">
        <v>46251</v>
      </c>
      <c r="I7" s="14" t="n">
        <v>46254</v>
      </c>
      <c r="J7" s="14" t="n">
        <v>46256</v>
      </c>
      <c r="K7" s="13" t="s">
        <v>18</v>
      </c>
      <c r="L7" s="13" t="s">
        <v>35</v>
      </c>
      <c r="M7" s="13"/>
      <c r="N7" s="15" t="n">
        <f aca="false">IFERROR(MATCH(K7,Lists!$A$2:$A$6,0),"")</f>
        <v>4</v>
      </c>
      <c r="O7" s="15" t="n">
        <f aca="false">IF(OR(G7="",H7=""),"",H7-G7)</f>
        <v>4</v>
      </c>
      <c r="P7" s="15" t="n">
        <f aca="false">IF(OR(G7="",J7=""),"",J7-G7)</f>
        <v>9</v>
      </c>
    </row>
    <row r="8" customFormat="false" ht="15" hidden="false" customHeight="false" outlineLevel="0" collapsed="false">
      <c r="A8" s="13" t="s">
        <v>75</v>
      </c>
      <c r="B8" s="13" t="s">
        <v>76</v>
      </c>
      <c r="C8" s="13" t="s">
        <v>77</v>
      </c>
      <c r="D8" s="13" t="s">
        <v>39</v>
      </c>
      <c r="E8" s="13" t="s">
        <v>27</v>
      </c>
      <c r="F8" s="13" t="s">
        <v>57</v>
      </c>
      <c r="G8" s="14" t="n">
        <v>46220</v>
      </c>
      <c r="H8" s="14"/>
      <c r="I8" s="14"/>
      <c r="J8" s="14"/>
      <c r="K8" s="13" t="s">
        <v>15</v>
      </c>
      <c r="L8" s="13" t="s">
        <v>34</v>
      </c>
      <c r="M8" s="13"/>
      <c r="N8" s="15" t="n">
        <f aca="false">IFERROR(MATCH(K8,Lists!$A$2:$A$6,0),"")</f>
        <v>1</v>
      </c>
      <c r="O8" s="15" t="str">
        <f aca="false">IF(OR(G8="",H8=""),"",H8-G8)</f>
        <v/>
      </c>
      <c r="P8" s="15" t="str">
        <f aca="false">IF(OR(G8="",J8=""),"",J8-G8)</f>
        <v/>
      </c>
    </row>
    <row r="9" customFormat="false" ht="15" hidden="false" customHeight="false" outlineLevel="0" collapsed="false">
      <c r="A9" s="13" t="s">
        <v>78</v>
      </c>
      <c r="B9" s="13" t="s">
        <v>79</v>
      </c>
      <c r="C9" s="13" t="s">
        <v>80</v>
      </c>
      <c r="D9" s="13" t="s">
        <v>39</v>
      </c>
      <c r="E9" s="13" t="s">
        <v>31</v>
      </c>
      <c r="F9" s="13" t="s">
        <v>61</v>
      </c>
      <c r="G9" s="14" t="n">
        <v>46242</v>
      </c>
      <c r="H9" s="14" t="n">
        <v>46246</v>
      </c>
      <c r="I9" s="14" t="n">
        <v>46250</v>
      </c>
      <c r="J9" s="14"/>
      <c r="K9" s="13" t="s">
        <v>17</v>
      </c>
      <c r="L9" s="13" t="s">
        <v>35</v>
      </c>
      <c r="M9" s="13"/>
      <c r="N9" s="15" t="n">
        <f aca="false">IFERROR(MATCH(K9,Lists!$A$2:$A$6,0),"")</f>
        <v>3</v>
      </c>
      <c r="O9" s="15" t="n">
        <f aca="false">IF(OR(G9="",H9=""),"",H9-G9)</f>
        <v>4</v>
      </c>
      <c r="P9" s="15" t="str">
        <f aca="false">IF(OR(G9="",J9=""),"",J9-G9)</f>
        <v/>
      </c>
    </row>
    <row r="10" customFormat="false" ht="15" hidden="false" customHeight="false" outlineLevel="0" collapsed="false">
      <c r="A10" s="13" t="s">
        <v>81</v>
      </c>
      <c r="B10" s="13" t="s">
        <v>82</v>
      </c>
      <c r="C10" s="13" t="s">
        <v>83</v>
      </c>
      <c r="D10" s="13" t="s">
        <v>40</v>
      </c>
      <c r="E10" s="13" t="s">
        <v>27</v>
      </c>
      <c r="F10" s="13" t="s">
        <v>65</v>
      </c>
      <c r="G10" s="14" t="n">
        <v>46181</v>
      </c>
      <c r="H10" s="14" t="n">
        <v>46185</v>
      </c>
      <c r="I10" s="14" t="n">
        <v>46187</v>
      </c>
      <c r="J10" s="14"/>
      <c r="K10" s="13" t="s">
        <v>17</v>
      </c>
      <c r="L10" s="13" t="s">
        <v>35</v>
      </c>
      <c r="M10" s="13"/>
      <c r="N10" s="15" t="n">
        <f aca="false">IFERROR(MATCH(K10,Lists!$A$2:$A$6,0),"")</f>
        <v>3</v>
      </c>
      <c r="O10" s="15" t="n">
        <f aca="false">IF(OR(G10="",H10=""),"",H10-G10)</f>
        <v>4</v>
      </c>
      <c r="P10" s="15" t="str">
        <f aca="false">IF(OR(G10="",J10=""),"",J10-G10)</f>
        <v/>
      </c>
    </row>
    <row r="11" customFormat="false" ht="15" hidden="false" customHeight="false" outlineLevel="0" collapsed="false">
      <c r="A11" s="13" t="s">
        <v>84</v>
      </c>
      <c r="B11" s="13" t="s">
        <v>85</v>
      </c>
      <c r="C11" s="13" t="s">
        <v>86</v>
      </c>
      <c r="D11" s="13" t="s">
        <v>40</v>
      </c>
      <c r="E11" s="13" t="s">
        <v>27</v>
      </c>
      <c r="F11" s="13" t="s">
        <v>65</v>
      </c>
      <c r="G11" s="14" t="n">
        <v>46201</v>
      </c>
      <c r="H11" s="14" t="n">
        <v>46209</v>
      </c>
      <c r="I11" s="14" t="n">
        <v>46217</v>
      </c>
      <c r="J11" s="14"/>
      <c r="K11" s="13" t="s">
        <v>17</v>
      </c>
      <c r="L11" s="13" t="s">
        <v>35</v>
      </c>
      <c r="M11" s="13"/>
      <c r="N11" s="15" t="n">
        <f aca="false">IFERROR(MATCH(K11,Lists!$A$2:$A$6,0),"")</f>
        <v>3</v>
      </c>
      <c r="O11" s="15" t="n">
        <f aca="false">IF(OR(G11="",H11=""),"",H11-G11)</f>
        <v>8</v>
      </c>
      <c r="P11" s="15" t="str">
        <f aca="false">IF(OR(G11="",J11=""),"",J11-G11)</f>
        <v/>
      </c>
    </row>
    <row r="12" customFormat="false" ht="15" hidden="false" customHeight="false" outlineLevel="0" collapsed="false">
      <c r="A12" s="13" t="s">
        <v>87</v>
      </c>
      <c r="B12" s="13" t="s">
        <v>88</v>
      </c>
      <c r="C12" s="13" t="s">
        <v>89</v>
      </c>
      <c r="D12" s="13" t="s">
        <v>40</v>
      </c>
      <c r="E12" s="13" t="s">
        <v>28</v>
      </c>
      <c r="F12" s="13" t="s">
        <v>65</v>
      </c>
      <c r="G12" s="14" t="n">
        <v>46207</v>
      </c>
      <c r="H12" s="14" t="n">
        <v>46214</v>
      </c>
      <c r="I12" s="14"/>
      <c r="J12" s="14"/>
      <c r="K12" s="13" t="s">
        <v>16</v>
      </c>
      <c r="L12" s="13" t="s">
        <v>35</v>
      </c>
      <c r="M12" s="13"/>
      <c r="N12" s="15" t="n">
        <f aca="false">IFERROR(MATCH(K12,Lists!$A$2:$A$6,0),"")</f>
        <v>2</v>
      </c>
      <c r="O12" s="15" t="n">
        <f aca="false">IF(OR(G12="",H12=""),"",H12-G12)</f>
        <v>7</v>
      </c>
      <c r="P12" s="15" t="str">
        <f aca="false">IF(OR(G12="",J12=""),"",J12-G12)</f>
        <v/>
      </c>
    </row>
    <row r="13" customFormat="false" ht="15" hidden="false" customHeight="false" outlineLevel="0" collapsed="false">
      <c r="A13" s="13" t="s">
        <v>90</v>
      </c>
      <c r="B13" s="13" t="s">
        <v>91</v>
      </c>
      <c r="C13" s="13" t="s">
        <v>92</v>
      </c>
      <c r="D13" s="13" t="s">
        <v>38</v>
      </c>
      <c r="E13" s="13" t="s">
        <v>29</v>
      </c>
      <c r="F13" s="13" t="s">
        <v>61</v>
      </c>
      <c r="G13" s="14" t="n">
        <v>46180</v>
      </c>
      <c r="H13" s="14"/>
      <c r="I13" s="14"/>
      <c r="J13" s="14"/>
      <c r="K13" s="13" t="s">
        <v>15</v>
      </c>
      <c r="L13" s="13" t="s">
        <v>35</v>
      </c>
      <c r="M13" s="13"/>
      <c r="N13" s="15" t="n">
        <f aca="false">IFERROR(MATCH(K13,Lists!$A$2:$A$6,0),"")</f>
        <v>1</v>
      </c>
      <c r="O13" s="15" t="str">
        <f aca="false">IF(OR(G13="",H13=""),"",H13-G13)</f>
        <v/>
      </c>
      <c r="P13" s="15" t="str">
        <f aca="false">IF(OR(G13="",J13=""),"",J13-G13)</f>
        <v/>
      </c>
    </row>
    <row r="14" customFormat="false" ht="15" hidden="false" customHeight="false" outlineLevel="0" collapsed="false">
      <c r="A14" s="13" t="s">
        <v>93</v>
      </c>
      <c r="B14" s="13" t="s">
        <v>94</v>
      </c>
      <c r="C14" s="13" t="s">
        <v>95</v>
      </c>
      <c r="D14" s="13" t="s">
        <v>40</v>
      </c>
      <c r="E14" s="13" t="s">
        <v>28</v>
      </c>
      <c r="F14" s="13" t="s">
        <v>61</v>
      </c>
      <c r="G14" s="14" t="n">
        <v>46222</v>
      </c>
      <c r="H14" s="14"/>
      <c r="I14" s="14"/>
      <c r="J14" s="14"/>
      <c r="K14" s="13" t="s">
        <v>15</v>
      </c>
      <c r="L14" s="13" t="s">
        <v>35</v>
      </c>
      <c r="M14" s="13"/>
      <c r="N14" s="15" t="n">
        <f aca="false">IFERROR(MATCH(K14,Lists!$A$2:$A$6,0),"")</f>
        <v>1</v>
      </c>
      <c r="O14" s="15" t="str">
        <f aca="false">IF(OR(G14="",H14=""),"",H14-G14)</f>
        <v/>
      </c>
      <c r="P14" s="15" t="str">
        <f aca="false">IF(OR(G14="",J14=""),"",J14-G14)</f>
        <v/>
      </c>
    </row>
    <row r="15" customFormat="false" ht="15" hidden="false" customHeight="false" outlineLevel="0" collapsed="false">
      <c r="A15" s="13" t="s">
        <v>96</v>
      </c>
      <c r="B15" s="13" t="s">
        <v>97</v>
      </c>
      <c r="C15" s="13" t="s">
        <v>98</v>
      </c>
      <c r="D15" s="13" t="s">
        <v>40</v>
      </c>
      <c r="E15" s="13" t="s">
        <v>27</v>
      </c>
      <c r="F15" s="13" t="s">
        <v>65</v>
      </c>
      <c r="G15" s="14" t="n">
        <v>46242</v>
      </c>
      <c r="H15" s="14" t="n">
        <v>46247</v>
      </c>
      <c r="I15" s="14" t="n">
        <v>46254</v>
      </c>
      <c r="J15" s="14"/>
      <c r="K15" s="13" t="s">
        <v>17</v>
      </c>
      <c r="L15" s="13" t="s">
        <v>34</v>
      </c>
      <c r="M15" s="13"/>
      <c r="N15" s="15" t="n">
        <f aca="false">IFERROR(MATCH(K15,Lists!$A$2:$A$6,0),"")</f>
        <v>3</v>
      </c>
      <c r="O15" s="15" t="n">
        <f aca="false">IF(OR(G15="",H15=""),"",H15-G15)</f>
        <v>5</v>
      </c>
      <c r="P15" s="15" t="str">
        <f aca="false">IF(OR(G15="",J15=""),"",J15-G15)</f>
        <v/>
      </c>
    </row>
    <row r="16" customFormat="false" ht="15" hidden="false" customHeight="false" outlineLevel="0" collapsed="false">
      <c r="A16" s="13" t="s">
        <v>99</v>
      </c>
      <c r="B16" s="13" t="s">
        <v>100</v>
      </c>
      <c r="C16" s="13" t="s">
        <v>101</v>
      </c>
      <c r="D16" s="13" t="s">
        <v>41</v>
      </c>
      <c r="E16" s="13" t="s">
        <v>29</v>
      </c>
      <c r="F16" s="13" t="s">
        <v>65</v>
      </c>
      <c r="G16" s="14" t="n">
        <v>46238</v>
      </c>
      <c r="H16" s="14" t="n">
        <v>46240</v>
      </c>
      <c r="I16" s="14" t="n">
        <v>46246</v>
      </c>
      <c r="J16" s="14"/>
      <c r="K16" s="13" t="s">
        <v>17</v>
      </c>
      <c r="L16" s="13" t="s">
        <v>35</v>
      </c>
      <c r="M16" s="13"/>
      <c r="N16" s="15" t="n">
        <f aca="false">IFERROR(MATCH(K16,Lists!$A$2:$A$6,0),"")</f>
        <v>3</v>
      </c>
      <c r="O16" s="15" t="n">
        <f aca="false">IF(OR(G16="",H16=""),"",H16-G16)</f>
        <v>2</v>
      </c>
      <c r="P16" s="15" t="str">
        <f aca="false">IF(OR(G16="",J16=""),"",J16-G16)</f>
        <v/>
      </c>
    </row>
    <row r="17" customFormat="false" ht="15" hidden="false" customHeight="false" outlineLevel="0" collapsed="false">
      <c r="A17" s="13" t="s">
        <v>102</v>
      </c>
      <c r="B17" s="13" t="s">
        <v>103</v>
      </c>
      <c r="C17" s="13" t="s">
        <v>104</v>
      </c>
      <c r="D17" s="13" t="s">
        <v>41</v>
      </c>
      <c r="E17" s="13" t="s">
        <v>28</v>
      </c>
      <c r="F17" s="13" t="s">
        <v>65</v>
      </c>
      <c r="G17" s="14" t="n">
        <v>46241</v>
      </c>
      <c r="H17" s="14"/>
      <c r="I17" s="14"/>
      <c r="J17" s="14"/>
      <c r="K17" s="13" t="s">
        <v>15</v>
      </c>
      <c r="L17" s="13" t="s">
        <v>36</v>
      </c>
      <c r="M17" s="13"/>
      <c r="N17" s="15" t="n">
        <f aca="false">IFERROR(MATCH(K17,Lists!$A$2:$A$6,0),"")</f>
        <v>1</v>
      </c>
      <c r="O17" s="15" t="str">
        <f aca="false">IF(OR(G17="",H17=""),"",H17-G17)</f>
        <v/>
      </c>
      <c r="P17" s="15" t="str">
        <f aca="false">IF(OR(G17="",J17=""),"",J17-G17)</f>
        <v/>
      </c>
    </row>
    <row r="18" customFormat="false" ht="15" hidden="false" customHeight="false" outlineLevel="0" collapsed="false">
      <c r="A18" s="13" t="s">
        <v>105</v>
      </c>
      <c r="B18" s="13" t="s">
        <v>106</v>
      </c>
      <c r="C18" s="13" t="s">
        <v>107</v>
      </c>
      <c r="D18" s="13" t="s">
        <v>41</v>
      </c>
      <c r="E18" s="13" t="s">
        <v>31</v>
      </c>
      <c r="F18" s="13" t="s">
        <v>65</v>
      </c>
      <c r="G18" s="14" t="n">
        <v>46213</v>
      </c>
      <c r="H18" s="14" t="n">
        <v>46217</v>
      </c>
      <c r="I18" s="14"/>
      <c r="J18" s="14"/>
      <c r="K18" s="13" t="s">
        <v>16</v>
      </c>
      <c r="L18" s="13" t="s">
        <v>34</v>
      </c>
      <c r="M18" s="13"/>
      <c r="N18" s="15" t="n">
        <f aca="false">IFERROR(MATCH(K18,Lists!$A$2:$A$6,0),"")</f>
        <v>2</v>
      </c>
      <c r="O18" s="15" t="n">
        <f aca="false">IF(OR(G18="",H18=""),"",H18-G18)</f>
        <v>4</v>
      </c>
      <c r="P18" s="15" t="str">
        <f aca="false">IF(OR(G18="",J18=""),"",J18-G18)</f>
        <v/>
      </c>
    </row>
    <row r="19" customFormat="false" ht="15" hidden="false" customHeight="false" outlineLevel="0" collapsed="false">
      <c r="A19" s="13" t="s">
        <v>108</v>
      </c>
      <c r="B19" s="13" t="s">
        <v>109</v>
      </c>
      <c r="C19" s="13" t="s">
        <v>110</v>
      </c>
      <c r="D19" s="13" t="s">
        <v>38</v>
      </c>
      <c r="E19" s="13" t="s">
        <v>29</v>
      </c>
      <c r="F19" s="13" t="s">
        <v>61</v>
      </c>
      <c r="G19" s="14" t="n">
        <v>46242</v>
      </c>
      <c r="H19" s="14"/>
      <c r="I19" s="14"/>
      <c r="J19" s="14"/>
      <c r="K19" s="13" t="s">
        <v>15</v>
      </c>
      <c r="L19" s="13" t="s">
        <v>35</v>
      </c>
      <c r="M19" s="13"/>
      <c r="N19" s="15" t="n">
        <f aca="false">IFERROR(MATCH(K19,Lists!$A$2:$A$6,0),"")</f>
        <v>1</v>
      </c>
      <c r="O19" s="15" t="str">
        <f aca="false">IF(OR(G19="",H19=""),"",H19-G19)</f>
        <v/>
      </c>
      <c r="P19" s="15" t="str">
        <f aca="false">IF(OR(G19="",J19=""),"",J19-G19)</f>
        <v/>
      </c>
    </row>
    <row r="20" customFormat="false" ht="15" hidden="false" customHeight="false" outlineLevel="0" collapsed="false">
      <c r="A20" s="13" t="s">
        <v>111</v>
      </c>
      <c r="B20" s="13" t="s">
        <v>112</v>
      </c>
      <c r="C20" s="13" t="s">
        <v>113</v>
      </c>
      <c r="D20" s="13" t="s">
        <v>38</v>
      </c>
      <c r="E20" s="13" t="s">
        <v>30</v>
      </c>
      <c r="F20" s="13" t="s">
        <v>57</v>
      </c>
      <c r="G20" s="14" t="n">
        <v>46228</v>
      </c>
      <c r="H20" s="14" t="n">
        <v>46232</v>
      </c>
      <c r="I20" s="14"/>
      <c r="J20" s="14"/>
      <c r="K20" s="13" t="s">
        <v>16</v>
      </c>
      <c r="L20" s="13" t="s">
        <v>36</v>
      </c>
      <c r="M20" s="13"/>
      <c r="N20" s="15" t="n">
        <f aca="false">IFERROR(MATCH(K20,Lists!$A$2:$A$6,0),"")</f>
        <v>2</v>
      </c>
      <c r="O20" s="15" t="n">
        <f aca="false">IF(OR(G20="",H20=""),"",H20-G20)</f>
        <v>4</v>
      </c>
      <c r="P20" s="15" t="str">
        <f aca="false">IF(OR(G20="",J20=""),"",J20-G20)</f>
        <v/>
      </c>
    </row>
    <row r="21" customFormat="false" ht="15" hidden="false" customHeight="false" outlineLevel="0" collapsed="false">
      <c r="A21" s="13" t="s">
        <v>114</v>
      </c>
      <c r="B21" s="13" t="s">
        <v>115</v>
      </c>
      <c r="C21" s="13" t="s">
        <v>116</v>
      </c>
      <c r="D21" s="13" t="s">
        <v>37</v>
      </c>
      <c r="E21" s="13" t="s">
        <v>29</v>
      </c>
      <c r="F21" s="13" t="s">
        <v>65</v>
      </c>
      <c r="G21" s="14" t="n">
        <v>46231</v>
      </c>
      <c r="H21" s="14" t="n">
        <v>46233</v>
      </c>
      <c r="I21" s="14" t="n">
        <v>46238</v>
      </c>
      <c r="J21" s="14" t="n">
        <v>46241</v>
      </c>
      <c r="K21" s="13" t="s">
        <v>18</v>
      </c>
      <c r="L21" s="13" t="s">
        <v>34</v>
      </c>
      <c r="M21" s="13"/>
      <c r="N21" s="15" t="n">
        <f aca="false">IFERROR(MATCH(K21,Lists!$A$2:$A$6,0),"")</f>
        <v>4</v>
      </c>
      <c r="O21" s="15" t="n">
        <f aca="false">IF(OR(G21="",H21=""),"",H21-G21)</f>
        <v>2</v>
      </c>
      <c r="P21" s="15" t="n">
        <f aca="false">IF(OR(G21="",J21=""),"",J21-G21)</f>
        <v>10</v>
      </c>
    </row>
    <row r="22" customFormat="false" ht="15" hidden="false" customHeight="false" outlineLevel="0" collapsed="false">
      <c r="A22" s="13" t="s">
        <v>117</v>
      </c>
      <c r="B22" s="13" t="s">
        <v>118</v>
      </c>
      <c r="C22" s="13" t="s">
        <v>119</v>
      </c>
      <c r="D22" s="13" t="s">
        <v>37</v>
      </c>
      <c r="E22" s="13" t="s">
        <v>31</v>
      </c>
      <c r="F22" s="13" t="s">
        <v>65</v>
      </c>
      <c r="G22" s="14" t="n">
        <v>46181</v>
      </c>
      <c r="H22" s="14"/>
      <c r="I22" s="14"/>
      <c r="J22" s="14"/>
      <c r="K22" s="13" t="s">
        <v>15</v>
      </c>
      <c r="L22" s="13" t="s">
        <v>34</v>
      </c>
      <c r="M22" s="13"/>
      <c r="N22" s="15" t="n">
        <f aca="false">IFERROR(MATCH(K22,Lists!$A$2:$A$6,0),"")</f>
        <v>1</v>
      </c>
      <c r="O22" s="15" t="str">
        <f aca="false">IF(OR(G22="",H22=""),"",H22-G22)</f>
        <v/>
      </c>
      <c r="P22" s="15" t="str">
        <f aca="false">IF(OR(G22="",J22=""),"",J22-G22)</f>
        <v/>
      </c>
    </row>
    <row r="23" customFormat="false" ht="15" hidden="false" customHeight="false" outlineLevel="0" collapsed="false">
      <c r="A23" s="13" t="s">
        <v>120</v>
      </c>
      <c r="B23" s="13" t="s">
        <v>121</v>
      </c>
      <c r="C23" s="13" t="s">
        <v>122</v>
      </c>
      <c r="D23" s="13" t="s">
        <v>38</v>
      </c>
      <c r="E23" s="13" t="s">
        <v>30</v>
      </c>
      <c r="F23" s="13" t="s">
        <v>61</v>
      </c>
      <c r="G23" s="14" t="n">
        <v>46236</v>
      </c>
      <c r="H23" s="14"/>
      <c r="I23" s="14"/>
      <c r="J23" s="14"/>
      <c r="K23" s="13" t="s">
        <v>15</v>
      </c>
      <c r="L23" s="13" t="s">
        <v>34</v>
      </c>
      <c r="M23" s="13"/>
      <c r="N23" s="15" t="n">
        <f aca="false">IFERROR(MATCH(K23,Lists!$A$2:$A$6,0),"")</f>
        <v>1</v>
      </c>
      <c r="O23" s="15" t="str">
        <f aca="false">IF(OR(G23="",H23=""),"",H23-G23)</f>
        <v/>
      </c>
      <c r="P23" s="15" t="str">
        <f aca="false">IF(OR(G23="",J23=""),"",J23-G23)</f>
        <v/>
      </c>
    </row>
    <row r="24" customFormat="false" ht="15" hidden="false" customHeight="false" outlineLevel="0" collapsed="false">
      <c r="A24" s="13" t="s">
        <v>123</v>
      </c>
      <c r="B24" s="13" t="s">
        <v>124</v>
      </c>
      <c r="C24" s="13" t="s">
        <v>125</v>
      </c>
      <c r="D24" s="13" t="s">
        <v>38</v>
      </c>
      <c r="E24" s="13" t="s">
        <v>27</v>
      </c>
      <c r="F24" s="13" t="s">
        <v>61</v>
      </c>
      <c r="G24" s="14" t="n">
        <v>46234</v>
      </c>
      <c r="H24" s="14"/>
      <c r="I24" s="14"/>
      <c r="J24" s="14"/>
      <c r="K24" s="13" t="s">
        <v>15</v>
      </c>
      <c r="L24" s="13" t="s">
        <v>35</v>
      </c>
      <c r="M24" s="13"/>
      <c r="N24" s="15" t="n">
        <f aca="false">IFERROR(MATCH(K24,Lists!$A$2:$A$6,0),"")</f>
        <v>1</v>
      </c>
      <c r="O24" s="15" t="str">
        <f aca="false">IF(OR(G24="",H24=""),"",H24-G24)</f>
        <v/>
      </c>
      <c r="P24" s="15" t="str">
        <f aca="false">IF(OR(G24="",J24=""),"",J24-G24)</f>
        <v/>
      </c>
    </row>
    <row r="25" customFormat="false" ht="15" hidden="false" customHeight="false" outlineLevel="0" collapsed="false">
      <c r="A25" s="13" t="s">
        <v>126</v>
      </c>
      <c r="B25" s="13" t="s">
        <v>67</v>
      </c>
      <c r="C25" s="13" t="s">
        <v>127</v>
      </c>
      <c r="D25" s="13" t="s">
        <v>37</v>
      </c>
      <c r="E25" s="13" t="s">
        <v>27</v>
      </c>
      <c r="F25" s="13" t="s">
        <v>61</v>
      </c>
      <c r="G25" s="14" t="n">
        <v>46233</v>
      </c>
      <c r="H25" s="14" t="n">
        <v>46234</v>
      </c>
      <c r="I25" s="14"/>
      <c r="J25" s="14"/>
      <c r="K25" s="13" t="s">
        <v>16</v>
      </c>
      <c r="L25" s="13" t="s">
        <v>35</v>
      </c>
      <c r="M25" s="13"/>
      <c r="N25" s="15" t="n">
        <f aca="false">IFERROR(MATCH(K25,Lists!$A$2:$A$6,0),"")</f>
        <v>2</v>
      </c>
      <c r="O25" s="15" t="n">
        <f aca="false">IF(OR(G25="",H25=""),"",H25-G25)</f>
        <v>1</v>
      </c>
      <c r="P25" s="15" t="str">
        <f aca="false">IF(OR(G25="",J25=""),"",J25-G25)</f>
        <v/>
      </c>
    </row>
    <row r="26" customFormat="false" ht="15" hidden="false" customHeight="false" outlineLevel="0" collapsed="false">
      <c r="A26" s="13" t="s">
        <v>128</v>
      </c>
      <c r="B26" s="13" t="s">
        <v>129</v>
      </c>
      <c r="C26" s="13" t="s">
        <v>130</v>
      </c>
      <c r="D26" s="13" t="s">
        <v>40</v>
      </c>
      <c r="E26" s="13" t="s">
        <v>27</v>
      </c>
      <c r="F26" s="13" t="s">
        <v>57</v>
      </c>
      <c r="G26" s="14" t="n">
        <v>46205</v>
      </c>
      <c r="H26" s="14" t="n">
        <v>46209</v>
      </c>
      <c r="I26" s="14" t="n">
        <v>46214</v>
      </c>
      <c r="J26" s="14" t="n">
        <v>46220</v>
      </c>
      <c r="K26" s="13" t="s">
        <v>18</v>
      </c>
      <c r="L26" s="13" t="s">
        <v>34</v>
      </c>
      <c r="M26" s="13"/>
      <c r="N26" s="15" t="n">
        <f aca="false">IFERROR(MATCH(K26,Lists!$A$2:$A$6,0),"")</f>
        <v>4</v>
      </c>
      <c r="O26" s="15" t="n">
        <f aca="false">IF(OR(G26="",H26=""),"",H26-G26)</f>
        <v>4</v>
      </c>
      <c r="P26" s="15" t="n">
        <f aca="false">IF(OR(G26="",J26=""),"",J26-G26)</f>
        <v>15</v>
      </c>
    </row>
    <row r="27" customFormat="false" ht="15" hidden="false" customHeight="false" outlineLevel="0" collapsed="false">
      <c r="A27" s="13" t="s">
        <v>131</v>
      </c>
      <c r="B27" s="13" t="s">
        <v>132</v>
      </c>
      <c r="C27" s="13" t="s">
        <v>133</v>
      </c>
      <c r="D27" s="13" t="s">
        <v>41</v>
      </c>
      <c r="E27" s="13" t="s">
        <v>30</v>
      </c>
      <c r="F27" s="13" t="s">
        <v>65</v>
      </c>
      <c r="G27" s="14" t="n">
        <v>46230</v>
      </c>
      <c r="H27" s="14" t="n">
        <v>46232</v>
      </c>
      <c r="I27" s="14" t="n">
        <v>46234</v>
      </c>
      <c r="J27" s="14" t="n">
        <v>46241</v>
      </c>
      <c r="K27" s="13" t="s">
        <v>19</v>
      </c>
      <c r="L27" s="13" t="s">
        <v>19</v>
      </c>
      <c r="M27" s="13"/>
      <c r="N27" s="15" t="n">
        <f aca="false">IFERROR(MATCH(K27,Lists!$A$2:$A$6,0),"")</f>
        <v>5</v>
      </c>
      <c r="O27" s="15" t="n">
        <f aca="false">IF(OR(G27="",H27=""),"",H27-G27)</f>
        <v>2</v>
      </c>
      <c r="P27" s="15" t="n">
        <f aca="false">IF(OR(G27="",J27=""),"",J27-G27)</f>
        <v>11</v>
      </c>
    </row>
    <row r="28" customFormat="false" ht="15" hidden="false" customHeight="false" outlineLevel="0" collapsed="false">
      <c r="A28" s="13" t="s">
        <v>134</v>
      </c>
      <c r="B28" s="13" t="s">
        <v>135</v>
      </c>
      <c r="C28" s="13" t="s">
        <v>136</v>
      </c>
      <c r="D28" s="13" t="s">
        <v>37</v>
      </c>
      <c r="E28" s="13" t="s">
        <v>27</v>
      </c>
      <c r="F28" s="13" t="s">
        <v>65</v>
      </c>
      <c r="G28" s="14" t="n">
        <v>46235</v>
      </c>
      <c r="H28" s="14" t="n">
        <v>46239</v>
      </c>
      <c r="I28" s="14"/>
      <c r="J28" s="14"/>
      <c r="K28" s="13" t="s">
        <v>16</v>
      </c>
      <c r="L28" s="13" t="s">
        <v>35</v>
      </c>
      <c r="M28" s="13"/>
      <c r="N28" s="15" t="n">
        <f aca="false">IFERROR(MATCH(K28,Lists!$A$2:$A$6,0),"")</f>
        <v>2</v>
      </c>
      <c r="O28" s="15" t="n">
        <f aca="false">IF(OR(G28="",H28=""),"",H28-G28)</f>
        <v>4</v>
      </c>
      <c r="P28" s="15" t="str">
        <f aca="false">IF(OR(G28="",J28=""),"",J28-G28)</f>
        <v/>
      </c>
    </row>
    <row r="29" customFormat="false" ht="15" hidden="false" customHeight="false" outlineLevel="0" collapsed="false">
      <c r="A29" s="13" t="s">
        <v>137</v>
      </c>
      <c r="B29" s="13" t="s">
        <v>138</v>
      </c>
      <c r="C29" s="13" t="s">
        <v>139</v>
      </c>
      <c r="D29" s="13" t="s">
        <v>41</v>
      </c>
      <c r="E29" s="13" t="s">
        <v>29</v>
      </c>
      <c r="F29" s="13" t="s">
        <v>57</v>
      </c>
      <c r="G29" s="14" t="n">
        <v>46232</v>
      </c>
      <c r="H29" s="14" t="n">
        <v>46237</v>
      </c>
      <c r="I29" s="14" t="n">
        <v>46245</v>
      </c>
      <c r="J29" s="14" t="n">
        <v>46252</v>
      </c>
      <c r="K29" s="13" t="s">
        <v>19</v>
      </c>
      <c r="L29" s="13" t="s">
        <v>19</v>
      </c>
      <c r="M29" s="13"/>
      <c r="N29" s="15" t="n">
        <f aca="false">IFERROR(MATCH(K29,Lists!$A$2:$A$6,0),"")</f>
        <v>5</v>
      </c>
      <c r="O29" s="15" t="n">
        <f aca="false">IF(OR(G29="",H29=""),"",H29-G29)</f>
        <v>5</v>
      </c>
      <c r="P29" s="15" t="n">
        <f aca="false">IF(OR(G29="",J29=""),"",J29-G29)</f>
        <v>20</v>
      </c>
    </row>
    <row r="30" customFormat="false" ht="15" hidden="false" customHeight="false" outlineLevel="0" collapsed="false">
      <c r="A30" s="13" t="s">
        <v>140</v>
      </c>
      <c r="B30" s="13" t="s">
        <v>141</v>
      </c>
      <c r="C30" s="13" t="s">
        <v>142</v>
      </c>
      <c r="D30" s="13" t="s">
        <v>41</v>
      </c>
      <c r="E30" s="13" t="s">
        <v>27</v>
      </c>
      <c r="F30" s="13" t="s">
        <v>57</v>
      </c>
      <c r="G30" s="14" t="n">
        <v>46181</v>
      </c>
      <c r="H30" s="14"/>
      <c r="I30" s="14"/>
      <c r="J30" s="14"/>
      <c r="K30" s="13" t="s">
        <v>15</v>
      </c>
      <c r="L30" s="13" t="s">
        <v>35</v>
      </c>
      <c r="M30" s="13"/>
      <c r="N30" s="15" t="n">
        <f aca="false">IFERROR(MATCH(K30,Lists!$A$2:$A$6,0),"")</f>
        <v>1</v>
      </c>
      <c r="O30" s="15" t="str">
        <f aca="false">IF(OR(G30="",H30=""),"",H30-G30)</f>
        <v/>
      </c>
      <c r="P30" s="15" t="str">
        <f aca="false">IF(OR(G30="",J30=""),"",J30-G30)</f>
        <v/>
      </c>
    </row>
    <row r="31" customFormat="false" ht="15" hidden="false" customHeight="false" outlineLevel="0" collapsed="false">
      <c r="A31" s="13" t="s">
        <v>143</v>
      </c>
      <c r="B31" s="13" t="s">
        <v>59</v>
      </c>
      <c r="C31" s="13" t="s">
        <v>144</v>
      </c>
      <c r="D31" s="13" t="s">
        <v>41</v>
      </c>
      <c r="E31" s="13" t="s">
        <v>27</v>
      </c>
      <c r="F31" s="13" t="s">
        <v>65</v>
      </c>
      <c r="G31" s="14" t="n">
        <v>46238</v>
      </c>
      <c r="H31" s="14" t="n">
        <v>46241</v>
      </c>
      <c r="I31" s="14"/>
      <c r="J31" s="14"/>
      <c r="K31" s="13" t="s">
        <v>16</v>
      </c>
      <c r="L31" s="13" t="s">
        <v>34</v>
      </c>
      <c r="M31" s="13"/>
      <c r="N31" s="15" t="n">
        <f aca="false">IFERROR(MATCH(K31,Lists!$A$2:$A$6,0),"")</f>
        <v>2</v>
      </c>
      <c r="O31" s="15" t="n">
        <f aca="false">IF(OR(G31="",H31=""),"",H31-G31)</f>
        <v>3</v>
      </c>
      <c r="P31" s="15" t="str">
        <f aca="false">IF(OR(G31="",J31=""),"",J31-G31)</f>
        <v/>
      </c>
    </row>
    <row r="32" customFormat="false" ht="15" hidden="false" customHeight="false" outlineLevel="0" collapsed="false">
      <c r="A32" s="13" t="s">
        <v>145</v>
      </c>
      <c r="B32" s="13" t="s">
        <v>79</v>
      </c>
      <c r="C32" s="13" t="s">
        <v>146</v>
      </c>
      <c r="D32" s="13" t="s">
        <v>41</v>
      </c>
      <c r="E32" s="13" t="s">
        <v>27</v>
      </c>
      <c r="F32" s="13" t="s">
        <v>61</v>
      </c>
      <c r="G32" s="14" t="n">
        <v>46204</v>
      </c>
      <c r="H32" s="14"/>
      <c r="I32" s="14"/>
      <c r="J32" s="14"/>
      <c r="K32" s="13" t="s">
        <v>15</v>
      </c>
      <c r="L32" s="13" t="s">
        <v>35</v>
      </c>
      <c r="M32" s="13"/>
      <c r="N32" s="15" t="n">
        <f aca="false">IFERROR(MATCH(K32,Lists!$A$2:$A$6,0),"")</f>
        <v>1</v>
      </c>
      <c r="O32" s="15" t="str">
        <f aca="false">IF(OR(G32="",H32=""),"",H32-G32)</f>
        <v/>
      </c>
      <c r="P32" s="15" t="str">
        <f aca="false">IF(OR(G32="",J32=""),"",J32-G32)</f>
        <v/>
      </c>
    </row>
    <row r="33" customFormat="false" ht="15" hidden="false" customHeight="false" outlineLevel="0" collapsed="false">
      <c r="A33" s="13" t="s">
        <v>147</v>
      </c>
      <c r="B33" s="13" t="s">
        <v>148</v>
      </c>
      <c r="C33" s="13" t="s">
        <v>149</v>
      </c>
      <c r="D33" s="13" t="s">
        <v>39</v>
      </c>
      <c r="E33" s="13" t="s">
        <v>31</v>
      </c>
      <c r="F33" s="13" t="s">
        <v>65</v>
      </c>
      <c r="G33" s="14" t="n">
        <v>46248</v>
      </c>
      <c r="H33" s="14"/>
      <c r="I33" s="14"/>
      <c r="J33" s="14"/>
      <c r="K33" s="13" t="s">
        <v>15</v>
      </c>
      <c r="L33" s="13" t="s">
        <v>35</v>
      </c>
      <c r="M33" s="13"/>
      <c r="N33" s="15" t="n">
        <f aca="false">IFERROR(MATCH(K33,Lists!$A$2:$A$6,0),"")</f>
        <v>1</v>
      </c>
      <c r="O33" s="15" t="str">
        <f aca="false">IF(OR(G33="",H33=""),"",H33-G33)</f>
        <v/>
      </c>
      <c r="P33" s="15" t="str">
        <f aca="false">IF(OR(G33="",J33=""),"",J33-G33)</f>
        <v/>
      </c>
    </row>
    <row r="34" customFormat="false" ht="15" hidden="false" customHeight="false" outlineLevel="0" collapsed="false">
      <c r="A34" s="13" t="s">
        <v>150</v>
      </c>
      <c r="B34" s="13" t="s">
        <v>151</v>
      </c>
      <c r="C34" s="13" t="s">
        <v>152</v>
      </c>
      <c r="D34" s="13" t="s">
        <v>39</v>
      </c>
      <c r="E34" s="13" t="s">
        <v>28</v>
      </c>
      <c r="F34" s="13" t="s">
        <v>65</v>
      </c>
      <c r="G34" s="14" t="n">
        <v>46190</v>
      </c>
      <c r="H34" s="14"/>
      <c r="I34" s="14"/>
      <c r="J34" s="14"/>
      <c r="K34" s="13" t="s">
        <v>15</v>
      </c>
      <c r="L34" s="13" t="s">
        <v>35</v>
      </c>
      <c r="M34" s="13"/>
      <c r="N34" s="15" t="n">
        <f aca="false">IFERROR(MATCH(K34,Lists!$A$2:$A$6,0),"")</f>
        <v>1</v>
      </c>
      <c r="O34" s="15" t="str">
        <f aca="false">IF(OR(G34="",H34=""),"",H34-G34)</f>
        <v/>
      </c>
      <c r="P34" s="15" t="str">
        <f aca="false">IF(OR(G34="",J34=""),"",J34-G34)</f>
        <v/>
      </c>
    </row>
    <row r="35" customFormat="false" ht="15" hidden="false" customHeight="false" outlineLevel="0" collapsed="false">
      <c r="A35" s="13" t="s">
        <v>153</v>
      </c>
      <c r="B35" s="13" t="s">
        <v>154</v>
      </c>
      <c r="C35" s="13" t="s">
        <v>155</v>
      </c>
      <c r="D35" s="13" t="s">
        <v>41</v>
      </c>
      <c r="E35" s="13" t="s">
        <v>27</v>
      </c>
      <c r="F35" s="13" t="s">
        <v>57</v>
      </c>
      <c r="G35" s="14" t="n">
        <v>46246</v>
      </c>
      <c r="H35" s="14" t="n">
        <v>46248</v>
      </c>
      <c r="I35" s="14" t="n">
        <v>46251</v>
      </c>
      <c r="J35" s="14"/>
      <c r="K35" s="13" t="s">
        <v>17</v>
      </c>
      <c r="L35" s="13" t="s">
        <v>35</v>
      </c>
      <c r="M35" s="13"/>
      <c r="N35" s="15" t="n">
        <f aca="false">IFERROR(MATCH(K35,Lists!$A$2:$A$6,0),"")</f>
        <v>3</v>
      </c>
      <c r="O35" s="15" t="n">
        <f aca="false">IF(OR(G35="",H35=""),"",H35-G35)</f>
        <v>2</v>
      </c>
      <c r="P35" s="15" t="str">
        <f aca="false">IF(OR(G35="",J35=""),"",J35-G35)</f>
        <v/>
      </c>
    </row>
    <row r="36" customFormat="false" ht="15" hidden="false" customHeight="false" outlineLevel="0" collapsed="false">
      <c r="A36" s="13" t="s">
        <v>156</v>
      </c>
      <c r="B36" s="13" t="s">
        <v>157</v>
      </c>
      <c r="C36" s="13" t="s">
        <v>158</v>
      </c>
      <c r="D36" s="13" t="s">
        <v>41</v>
      </c>
      <c r="E36" s="13" t="s">
        <v>30</v>
      </c>
      <c r="F36" s="13" t="s">
        <v>61</v>
      </c>
      <c r="G36" s="14" t="n">
        <v>46210</v>
      </c>
      <c r="H36" s="14"/>
      <c r="I36" s="14"/>
      <c r="J36" s="14"/>
      <c r="K36" s="13" t="s">
        <v>15</v>
      </c>
      <c r="L36" s="13" t="s">
        <v>34</v>
      </c>
      <c r="M36" s="13"/>
      <c r="N36" s="15" t="n">
        <f aca="false">IFERROR(MATCH(K36,Lists!$A$2:$A$6,0),"")</f>
        <v>1</v>
      </c>
      <c r="O36" s="15" t="str">
        <f aca="false">IF(OR(G36="",H36=""),"",H36-G36)</f>
        <v/>
      </c>
      <c r="P36" s="15" t="str">
        <f aca="false">IF(OR(G36="",J36=""),"",J36-G36)</f>
        <v/>
      </c>
    </row>
    <row r="37" customFormat="false" ht="15" hidden="false" customHeight="false" outlineLevel="0" collapsed="false">
      <c r="A37" s="13" t="s">
        <v>159</v>
      </c>
      <c r="B37" s="13" t="s">
        <v>160</v>
      </c>
      <c r="C37" s="13" t="s">
        <v>161</v>
      </c>
      <c r="D37" s="13" t="s">
        <v>38</v>
      </c>
      <c r="E37" s="13" t="s">
        <v>27</v>
      </c>
      <c r="F37" s="13" t="s">
        <v>65</v>
      </c>
      <c r="G37" s="14" t="n">
        <v>46244</v>
      </c>
      <c r="H37" s="14" t="n">
        <v>46249</v>
      </c>
      <c r="I37" s="14" t="n">
        <v>46252</v>
      </c>
      <c r="J37" s="14"/>
      <c r="K37" s="13" t="s">
        <v>17</v>
      </c>
      <c r="L37" s="13" t="s">
        <v>36</v>
      </c>
      <c r="M37" s="13"/>
      <c r="N37" s="15" t="n">
        <f aca="false">IFERROR(MATCH(K37,Lists!$A$2:$A$6,0),"")</f>
        <v>3</v>
      </c>
      <c r="O37" s="15" t="n">
        <f aca="false">IF(OR(G37="",H37=""),"",H37-G37)</f>
        <v>5</v>
      </c>
      <c r="P37" s="15" t="str">
        <f aca="false">IF(OR(G37="",J37=""),"",J37-G37)</f>
        <v/>
      </c>
    </row>
    <row r="38" customFormat="false" ht="15" hidden="false" customHeight="false" outlineLevel="0" collapsed="false">
      <c r="A38" s="13" t="s">
        <v>162</v>
      </c>
      <c r="B38" s="13" t="s">
        <v>163</v>
      </c>
      <c r="C38" s="13" t="s">
        <v>164</v>
      </c>
      <c r="D38" s="13" t="s">
        <v>38</v>
      </c>
      <c r="E38" s="13" t="s">
        <v>29</v>
      </c>
      <c r="F38" s="13" t="s">
        <v>57</v>
      </c>
      <c r="G38" s="14" t="n">
        <v>46200</v>
      </c>
      <c r="H38" s="14"/>
      <c r="I38" s="14"/>
      <c r="J38" s="14"/>
      <c r="K38" s="13" t="s">
        <v>15</v>
      </c>
      <c r="L38" s="13" t="s">
        <v>35</v>
      </c>
      <c r="M38" s="13"/>
      <c r="N38" s="15" t="n">
        <f aca="false">IFERROR(MATCH(K38,Lists!$A$2:$A$6,0),"")</f>
        <v>1</v>
      </c>
      <c r="O38" s="15" t="str">
        <f aca="false">IF(OR(G38="",H38=""),"",H38-G38)</f>
        <v/>
      </c>
      <c r="P38" s="15" t="str">
        <f aca="false">IF(OR(G38="",J38=""),"",J38-G38)</f>
        <v/>
      </c>
    </row>
    <row r="39" customFormat="false" ht="15" hidden="false" customHeight="false" outlineLevel="0" collapsed="false">
      <c r="A39" s="13" t="s">
        <v>165</v>
      </c>
      <c r="B39" s="13" t="s">
        <v>91</v>
      </c>
      <c r="C39" s="13" t="s">
        <v>166</v>
      </c>
      <c r="D39" s="13" t="s">
        <v>40</v>
      </c>
      <c r="E39" s="13" t="s">
        <v>30</v>
      </c>
      <c r="F39" s="13" t="s">
        <v>65</v>
      </c>
      <c r="G39" s="14" t="n">
        <v>46180</v>
      </c>
      <c r="H39" s="14"/>
      <c r="I39" s="14"/>
      <c r="J39" s="14"/>
      <c r="K39" s="13" t="s">
        <v>15</v>
      </c>
      <c r="L39" s="13" t="s">
        <v>34</v>
      </c>
      <c r="M39" s="13"/>
      <c r="N39" s="15" t="n">
        <f aca="false">IFERROR(MATCH(K39,Lists!$A$2:$A$6,0),"")</f>
        <v>1</v>
      </c>
      <c r="O39" s="15" t="str">
        <f aca="false">IF(OR(G39="",H39=""),"",H39-G39)</f>
        <v/>
      </c>
      <c r="P39" s="15" t="str">
        <f aca="false">IF(OR(G39="",J39=""),"",J39-G39)</f>
        <v/>
      </c>
    </row>
    <row r="40" customFormat="false" ht="15" hidden="false" customHeight="false" outlineLevel="0" collapsed="false">
      <c r="A40" s="13" t="s">
        <v>167</v>
      </c>
      <c r="B40" s="13" t="s">
        <v>168</v>
      </c>
      <c r="C40" s="13" t="s">
        <v>169</v>
      </c>
      <c r="D40" s="13" t="s">
        <v>40</v>
      </c>
      <c r="E40" s="13" t="s">
        <v>29</v>
      </c>
      <c r="F40" s="13" t="s">
        <v>65</v>
      </c>
      <c r="G40" s="14" t="n">
        <v>46207</v>
      </c>
      <c r="H40" s="14" t="n">
        <v>46210</v>
      </c>
      <c r="I40" s="14" t="n">
        <v>46219</v>
      </c>
      <c r="J40" s="14"/>
      <c r="K40" s="13" t="s">
        <v>17</v>
      </c>
      <c r="L40" s="13" t="s">
        <v>35</v>
      </c>
      <c r="M40" s="13"/>
      <c r="N40" s="15" t="n">
        <f aca="false">IFERROR(MATCH(K40,Lists!$A$2:$A$6,0),"")</f>
        <v>3</v>
      </c>
      <c r="O40" s="15" t="n">
        <f aca="false">IF(OR(G40="",H40=""),"",H40-G40)</f>
        <v>3</v>
      </c>
      <c r="P40" s="15" t="str">
        <f aca="false">IF(OR(G40="",J40=""),"",J40-G40)</f>
        <v/>
      </c>
    </row>
    <row r="41" customFormat="false" ht="15" hidden="false" customHeight="false" outlineLevel="0" collapsed="false">
      <c r="A41" s="13" t="s">
        <v>170</v>
      </c>
      <c r="B41" s="13" t="s">
        <v>157</v>
      </c>
      <c r="C41" s="13" t="s">
        <v>171</v>
      </c>
      <c r="D41" s="13" t="s">
        <v>38</v>
      </c>
      <c r="E41" s="13" t="s">
        <v>28</v>
      </c>
      <c r="F41" s="13" t="s">
        <v>65</v>
      </c>
      <c r="G41" s="14" t="n">
        <v>46193</v>
      </c>
      <c r="H41" s="14" t="n">
        <v>46194</v>
      </c>
      <c r="I41" s="14" t="n">
        <v>46201</v>
      </c>
      <c r="J41" s="14"/>
      <c r="K41" s="13" t="s">
        <v>17</v>
      </c>
      <c r="L41" s="13" t="s">
        <v>35</v>
      </c>
      <c r="M41" s="13"/>
      <c r="N41" s="15" t="n">
        <f aca="false">IFERROR(MATCH(K41,Lists!$A$2:$A$6,0),"")</f>
        <v>3</v>
      </c>
      <c r="O41" s="15" t="n">
        <f aca="false">IF(OR(G41="",H41=""),"",H41-G41)</f>
        <v>1</v>
      </c>
      <c r="P41" s="15" t="str">
        <f aca="false">IF(OR(G41="",J41=""),"",J41-G41)</f>
        <v/>
      </c>
    </row>
    <row r="42" customFormat="false" ht="15" hidden="false" customHeight="false" outlineLevel="0" collapsed="false">
      <c r="A42" s="13" t="s">
        <v>172</v>
      </c>
      <c r="B42" s="13" t="s">
        <v>173</v>
      </c>
      <c r="C42" s="13" t="s">
        <v>174</v>
      </c>
      <c r="D42" s="13" t="s">
        <v>37</v>
      </c>
      <c r="E42" s="13" t="s">
        <v>28</v>
      </c>
      <c r="F42" s="13" t="s">
        <v>61</v>
      </c>
      <c r="G42" s="14" t="n">
        <v>46179</v>
      </c>
      <c r="H42" s="14" t="n">
        <v>46185</v>
      </c>
      <c r="I42" s="14" t="n">
        <v>46190</v>
      </c>
      <c r="J42" s="14" t="n">
        <v>46197</v>
      </c>
      <c r="K42" s="13" t="s">
        <v>18</v>
      </c>
      <c r="L42" s="13" t="s">
        <v>34</v>
      </c>
      <c r="M42" s="13"/>
      <c r="N42" s="15" t="n">
        <f aca="false">IFERROR(MATCH(K42,Lists!$A$2:$A$6,0),"")</f>
        <v>4</v>
      </c>
      <c r="O42" s="15" t="n">
        <f aca="false">IF(OR(G42="",H42=""),"",H42-G42)</f>
        <v>6</v>
      </c>
      <c r="P42" s="15" t="n">
        <f aca="false">IF(OR(G42="",J42=""),"",J42-G42)</f>
        <v>18</v>
      </c>
    </row>
    <row r="43" customFormat="false" ht="15" hidden="false" customHeight="false" outlineLevel="0" collapsed="false">
      <c r="A43" s="13" t="s">
        <v>175</v>
      </c>
      <c r="B43" s="13" t="s">
        <v>94</v>
      </c>
      <c r="C43" s="13" t="s">
        <v>176</v>
      </c>
      <c r="D43" s="13" t="s">
        <v>37</v>
      </c>
      <c r="E43" s="13" t="s">
        <v>27</v>
      </c>
      <c r="F43" s="13" t="s">
        <v>57</v>
      </c>
      <c r="G43" s="14" t="n">
        <v>46204</v>
      </c>
      <c r="H43" s="14" t="n">
        <v>46207</v>
      </c>
      <c r="I43" s="14" t="n">
        <v>46211</v>
      </c>
      <c r="J43" s="14"/>
      <c r="K43" s="13" t="s">
        <v>17</v>
      </c>
      <c r="L43" s="13" t="s">
        <v>35</v>
      </c>
      <c r="M43" s="13"/>
      <c r="N43" s="15" t="n">
        <f aca="false">IFERROR(MATCH(K43,Lists!$A$2:$A$6,0),"")</f>
        <v>3</v>
      </c>
      <c r="O43" s="15" t="n">
        <f aca="false">IF(OR(G43="",H43=""),"",H43-G43)</f>
        <v>3</v>
      </c>
      <c r="P43" s="15" t="str">
        <f aca="false">IF(OR(G43="",J43=""),"",J43-G43)</f>
        <v/>
      </c>
    </row>
    <row r="44" customFormat="false" ht="15" hidden="false" customHeight="false" outlineLevel="0" collapsed="false">
      <c r="A44" s="13" t="s">
        <v>177</v>
      </c>
      <c r="B44" s="13" t="s">
        <v>178</v>
      </c>
      <c r="C44" s="13" t="s">
        <v>179</v>
      </c>
      <c r="D44" s="13" t="s">
        <v>37</v>
      </c>
      <c r="E44" s="13" t="s">
        <v>28</v>
      </c>
      <c r="F44" s="13" t="s">
        <v>65</v>
      </c>
      <c r="G44" s="14" t="n">
        <v>46205</v>
      </c>
      <c r="H44" s="14" t="n">
        <v>46210</v>
      </c>
      <c r="I44" s="14" t="n">
        <v>46214</v>
      </c>
      <c r="J44" s="14"/>
      <c r="K44" s="13" t="s">
        <v>17</v>
      </c>
      <c r="L44" s="13" t="s">
        <v>35</v>
      </c>
      <c r="M44" s="13"/>
      <c r="N44" s="15" t="n">
        <f aca="false">IFERROR(MATCH(K44,Lists!$A$2:$A$6,0),"")</f>
        <v>3</v>
      </c>
      <c r="O44" s="15" t="n">
        <f aca="false">IF(OR(G44="",H44=""),"",H44-G44)</f>
        <v>5</v>
      </c>
      <c r="P44" s="15" t="str">
        <f aca="false">IF(OR(G44="",J44=""),"",J44-G44)</f>
        <v/>
      </c>
    </row>
    <row r="45" customFormat="false" ht="15" hidden="false" customHeight="false" outlineLevel="0" collapsed="false">
      <c r="A45" s="13" t="s">
        <v>180</v>
      </c>
      <c r="B45" s="13" t="s">
        <v>181</v>
      </c>
      <c r="C45" s="13" t="s">
        <v>182</v>
      </c>
      <c r="D45" s="13" t="s">
        <v>38</v>
      </c>
      <c r="E45" s="13" t="s">
        <v>27</v>
      </c>
      <c r="F45" s="13" t="s">
        <v>61</v>
      </c>
      <c r="G45" s="14" t="n">
        <v>46232</v>
      </c>
      <c r="H45" s="14"/>
      <c r="I45" s="14"/>
      <c r="J45" s="14"/>
      <c r="K45" s="13" t="s">
        <v>15</v>
      </c>
      <c r="L45" s="13" t="s">
        <v>34</v>
      </c>
      <c r="M45" s="13"/>
      <c r="N45" s="15" t="n">
        <f aca="false">IFERROR(MATCH(K45,Lists!$A$2:$A$6,0),"")</f>
        <v>1</v>
      </c>
      <c r="O45" s="15" t="str">
        <f aca="false">IF(OR(G45="",H45=""),"",H45-G45)</f>
        <v/>
      </c>
      <c r="P45" s="15" t="str">
        <f aca="false">IF(OR(G45="",J45=""),"",J45-G45)</f>
        <v/>
      </c>
    </row>
    <row r="46" customFormat="false" ht="15" hidden="false" customHeight="false" outlineLevel="0" collapsed="false">
      <c r="A46" s="13" t="s">
        <v>183</v>
      </c>
      <c r="B46" s="13" t="s">
        <v>184</v>
      </c>
      <c r="C46" s="13" t="s">
        <v>185</v>
      </c>
      <c r="D46" s="13" t="s">
        <v>41</v>
      </c>
      <c r="E46" s="13" t="s">
        <v>28</v>
      </c>
      <c r="F46" s="13" t="s">
        <v>61</v>
      </c>
      <c r="G46" s="14" t="n">
        <v>46182</v>
      </c>
      <c r="H46" s="14" t="n">
        <v>46187</v>
      </c>
      <c r="I46" s="14"/>
      <c r="J46" s="14"/>
      <c r="K46" s="13" t="s">
        <v>16</v>
      </c>
      <c r="L46" s="13" t="s">
        <v>35</v>
      </c>
      <c r="M46" s="13"/>
      <c r="N46" s="15" t="n">
        <f aca="false">IFERROR(MATCH(K46,Lists!$A$2:$A$6,0),"")</f>
        <v>2</v>
      </c>
      <c r="O46" s="15" t="n">
        <f aca="false">IF(OR(G46="",H46=""),"",H46-G46)</f>
        <v>5</v>
      </c>
      <c r="P46" s="15" t="str">
        <f aca="false">IF(OR(G46="",J46=""),"",J46-G46)</f>
        <v/>
      </c>
    </row>
    <row r="47" customFormat="false" ht="15" hidden="false" customHeight="false" outlineLevel="0" collapsed="false">
      <c r="A47" s="13" t="s">
        <v>186</v>
      </c>
      <c r="B47" s="13" t="s">
        <v>187</v>
      </c>
      <c r="C47" s="13" t="s">
        <v>188</v>
      </c>
      <c r="D47" s="13" t="s">
        <v>39</v>
      </c>
      <c r="E47" s="13" t="s">
        <v>27</v>
      </c>
      <c r="F47" s="13" t="s">
        <v>61</v>
      </c>
      <c r="G47" s="14" t="n">
        <v>46207</v>
      </c>
      <c r="H47" s="14"/>
      <c r="I47" s="14"/>
      <c r="J47" s="14"/>
      <c r="K47" s="13" t="s">
        <v>15</v>
      </c>
      <c r="L47" s="13" t="s">
        <v>34</v>
      </c>
      <c r="M47" s="13"/>
      <c r="N47" s="15" t="n">
        <f aca="false">IFERROR(MATCH(K47,Lists!$A$2:$A$6,0),"")</f>
        <v>1</v>
      </c>
      <c r="O47" s="15" t="str">
        <f aca="false">IF(OR(G47="",H47=""),"",H47-G47)</f>
        <v/>
      </c>
      <c r="P47" s="15" t="str">
        <f aca="false">IF(OR(G47="",J47=""),"",J47-G47)</f>
        <v/>
      </c>
    </row>
    <row r="48" customFormat="false" ht="15" hidden="false" customHeight="false" outlineLevel="0" collapsed="false">
      <c r="A48" s="13" t="s">
        <v>189</v>
      </c>
      <c r="B48" s="13" t="s">
        <v>67</v>
      </c>
      <c r="C48" s="13" t="s">
        <v>190</v>
      </c>
      <c r="D48" s="13" t="s">
        <v>41</v>
      </c>
      <c r="E48" s="13" t="s">
        <v>27</v>
      </c>
      <c r="F48" s="13" t="s">
        <v>65</v>
      </c>
      <c r="G48" s="14" t="n">
        <v>46214</v>
      </c>
      <c r="H48" s="14" t="n">
        <v>46221</v>
      </c>
      <c r="I48" s="14" t="n">
        <v>46224</v>
      </c>
      <c r="J48" s="14"/>
      <c r="K48" s="13" t="s">
        <v>17</v>
      </c>
      <c r="L48" s="13" t="s">
        <v>35</v>
      </c>
      <c r="M48" s="13"/>
      <c r="N48" s="15" t="n">
        <f aca="false">IFERROR(MATCH(K48,Lists!$A$2:$A$6,0),"")</f>
        <v>3</v>
      </c>
      <c r="O48" s="15" t="n">
        <f aca="false">IF(OR(G48="",H48=""),"",H48-G48)</f>
        <v>7</v>
      </c>
      <c r="P48" s="15" t="str">
        <f aca="false">IF(OR(G48="",J48=""),"",J48-G48)</f>
        <v/>
      </c>
    </row>
    <row r="49" customFormat="false" ht="15" hidden="false" customHeight="false" outlineLevel="0" collapsed="false">
      <c r="A49" s="13" t="s">
        <v>191</v>
      </c>
      <c r="B49" s="13" t="s">
        <v>192</v>
      </c>
      <c r="C49" s="13" t="s">
        <v>193</v>
      </c>
      <c r="D49" s="13" t="s">
        <v>37</v>
      </c>
      <c r="E49" s="13" t="s">
        <v>31</v>
      </c>
      <c r="F49" s="13" t="s">
        <v>57</v>
      </c>
      <c r="G49" s="14" t="n">
        <v>46242</v>
      </c>
      <c r="H49" s="14" t="n">
        <v>46246</v>
      </c>
      <c r="I49" s="14"/>
      <c r="J49" s="14"/>
      <c r="K49" s="13" t="s">
        <v>16</v>
      </c>
      <c r="L49" s="13" t="s">
        <v>35</v>
      </c>
      <c r="M49" s="13"/>
      <c r="N49" s="15" t="n">
        <f aca="false">IFERROR(MATCH(K49,Lists!$A$2:$A$6,0),"")</f>
        <v>2</v>
      </c>
      <c r="O49" s="15" t="n">
        <f aca="false">IF(OR(G49="",H49=""),"",H49-G49)</f>
        <v>4</v>
      </c>
      <c r="P49" s="15" t="str">
        <f aca="false">IF(OR(G49="",J49=""),"",J49-G49)</f>
        <v/>
      </c>
    </row>
    <row r="50" customFormat="false" ht="15" hidden="false" customHeight="false" outlineLevel="0" collapsed="false">
      <c r="A50" s="13" t="s">
        <v>194</v>
      </c>
      <c r="B50" s="13" t="s">
        <v>195</v>
      </c>
      <c r="C50" s="13" t="s">
        <v>196</v>
      </c>
      <c r="D50" s="13" t="s">
        <v>39</v>
      </c>
      <c r="E50" s="13" t="s">
        <v>28</v>
      </c>
      <c r="F50" s="13" t="s">
        <v>57</v>
      </c>
      <c r="G50" s="14" t="n">
        <v>46189</v>
      </c>
      <c r="H50" s="14" t="n">
        <v>46194</v>
      </c>
      <c r="I50" s="14" t="n">
        <v>46200</v>
      </c>
      <c r="J50" s="14"/>
      <c r="K50" s="13" t="s">
        <v>17</v>
      </c>
      <c r="L50" s="13" t="s">
        <v>35</v>
      </c>
      <c r="M50" s="13"/>
      <c r="N50" s="15" t="n">
        <f aca="false">IFERROR(MATCH(K50,Lists!$A$2:$A$6,0),"")</f>
        <v>3</v>
      </c>
      <c r="O50" s="15" t="n">
        <f aca="false">IF(OR(G50="",H50=""),"",H50-G50)</f>
        <v>5</v>
      </c>
      <c r="P50" s="15" t="str">
        <f aca="false">IF(OR(G50="",J50=""),"",J50-G50)</f>
        <v/>
      </c>
    </row>
    <row r="51" customFormat="false" ht="15" hidden="false" customHeight="false" outlineLevel="0" collapsed="false">
      <c r="A51" s="13" t="s">
        <v>197</v>
      </c>
      <c r="B51" s="13" t="s">
        <v>163</v>
      </c>
      <c r="C51" s="13" t="s">
        <v>198</v>
      </c>
      <c r="D51" s="13" t="s">
        <v>38</v>
      </c>
      <c r="E51" s="13" t="s">
        <v>29</v>
      </c>
      <c r="F51" s="13" t="s">
        <v>57</v>
      </c>
      <c r="G51" s="14" t="n">
        <v>46222</v>
      </c>
      <c r="H51" s="14"/>
      <c r="I51" s="14"/>
      <c r="J51" s="14"/>
      <c r="K51" s="13" t="s">
        <v>15</v>
      </c>
      <c r="L51" s="13" t="s">
        <v>35</v>
      </c>
      <c r="M51" s="13"/>
      <c r="N51" s="15" t="n">
        <f aca="false">IFERROR(MATCH(K51,Lists!$A$2:$A$6,0),"")</f>
        <v>1</v>
      </c>
      <c r="O51" s="15" t="str">
        <f aca="false">IF(OR(G51="",H51=""),"",H51-G51)</f>
        <v/>
      </c>
      <c r="P51" s="15" t="str">
        <f aca="false">IF(OR(G51="",J51=""),"",J51-G51)</f>
        <v/>
      </c>
    </row>
    <row r="52" customFormat="false" ht="15" hidden="false" customHeight="false" outlineLevel="0" collapsed="false">
      <c r="A52" s="13" t="s">
        <v>199</v>
      </c>
      <c r="B52" s="13" t="s">
        <v>200</v>
      </c>
      <c r="C52" s="13" t="s">
        <v>201</v>
      </c>
      <c r="D52" s="13" t="s">
        <v>41</v>
      </c>
      <c r="E52" s="13" t="s">
        <v>29</v>
      </c>
      <c r="F52" s="13" t="s">
        <v>57</v>
      </c>
      <c r="G52" s="14" t="n">
        <v>46212</v>
      </c>
      <c r="H52" s="14" t="n">
        <v>46217</v>
      </c>
      <c r="I52" s="14" t="n">
        <v>46222</v>
      </c>
      <c r="J52" s="14" t="n">
        <v>46227</v>
      </c>
      <c r="K52" s="13" t="s">
        <v>18</v>
      </c>
      <c r="L52" s="13" t="s">
        <v>36</v>
      </c>
      <c r="M52" s="13"/>
      <c r="N52" s="15" t="n">
        <f aca="false">IFERROR(MATCH(K52,Lists!$A$2:$A$6,0),"")</f>
        <v>4</v>
      </c>
      <c r="O52" s="15" t="n">
        <f aca="false">IF(OR(G52="",H52=""),"",H52-G52)</f>
        <v>5</v>
      </c>
      <c r="P52" s="15" t="n">
        <f aca="false">IF(OR(G52="",J52=""),"",J52-G52)</f>
        <v>15</v>
      </c>
    </row>
    <row r="53" customFormat="false" ht="15" hidden="false" customHeight="false" outlineLevel="0" collapsed="false">
      <c r="A53" s="13" t="s">
        <v>202</v>
      </c>
      <c r="B53" s="13" t="s">
        <v>203</v>
      </c>
      <c r="C53" s="13" t="s">
        <v>204</v>
      </c>
      <c r="D53" s="13" t="s">
        <v>39</v>
      </c>
      <c r="E53" s="13" t="s">
        <v>28</v>
      </c>
      <c r="F53" s="13" t="s">
        <v>61</v>
      </c>
      <c r="G53" s="14" t="n">
        <v>46239</v>
      </c>
      <c r="H53" s="14" t="n">
        <v>46247</v>
      </c>
      <c r="I53" s="14" t="n">
        <v>46251</v>
      </c>
      <c r="J53" s="14"/>
      <c r="K53" s="13" t="s">
        <v>17</v>
      </c>
      <c r="L53" s="13" t="s">
        <v>35</v>
      </c>
      <c r="M53" s="13"/>
      <c r="N53" s="15" t="n">
        <f aca="false">IFERROR(MATCH(K53,Lists!$A$2:$A$6,0),"")</f>
        <v>3</v>
      </c>
      <c r="O53" s="15" t="n">
        <f aca="false">IF(OR(G53="",H53=""),"",H53-G53)</f>
        <v>8</v>
      </c>
      <c r="P53" s="15" t="str">
        <f aca="false">IF(OR(G53="",J53=""),"",J53-G53)</f>
        <v/>
      </c>
    </row>
    <row r="54" customFormat="false" ht="15" hidden="false" customHeight="false" outlineLevel="0" collapsed="false">
      <c r="A54" s="13" t="s">
        <v>205</v>
      </c>
      <c r="B54" s="13" t="s">
        <v>195</v>
      </c>
      <c r="C54" s="13" t="s">
        <v>206</v>
      </c>
      <c r="D54" s="13" t="s">
        <v>38</v>
      </c>
      <c r="E54" s="13" t="s">
        <v>30</v>
      </c>
      <c r="F54" s="13" t="s">
        <v>65</v>
      </c>
      <c r="G54" s="14" t="n">
        <v>46204</v>
      </c>
      <c r="H54" s="14"/>
      <c r="I54" s="14"/>
      <c r="J54" s="14"/>
      <c r="K54" s="13" t="s">
        <v>15</v>
      </c>
      <c r="L54" s="13" t="s">
        <v>35</v>
      </c>
      <c r="M54" s="13"/>
      <c r="N54" s="15" t="n">
        <f aca="false">IFERROR(MATCH(K54,Lists!$A$2:$A$6,0),"")</f>
        <v>1</v>
      </c>
      <c r="O54" s="15" t="str">
        <f aca="false">IF(OR(G54="",H54=""),"",H54-G54)</f>
        <v/>
      </c>
      <c r="P54" s="15" t="str">
        <f aca="false">IF(OR(G54="",J54=""),"",J54-G54)</f>
        <v/>
      </c>
    </row>
    <row r="55" customFormat="false" ht="15" hidden="false" customHeight="false" outlineLevel="0" collapsed="false">
      <c r="A55" s="13" t="s">
        <v>207</v>
      </c>
      <c r="B55" s="13" t="s">
        <v>208</v>
      </c>
      <c r="C55" s="13" t="s">
        <v>209</v>
      </c>
      <c r="D55" s="13" t="s">
        <v>37</v>
      </c>
      <c r="E55" s="13" t="s">
        <v>28</v>
      </c>
      <c r="F55" s="13" t="s">
        <v>61</v>
      </c>
      <c r="G55" s="14" t="n">
        <v>46234</v>
      </c>
      <c r="H55" s="14"/>
      <c r="I55" s="14"/>
      <c r="J55" s="14"/>
      <c r="K55" s="13" t="s">
        <v>15</v>
      </c>
      <c r="L55" s="13" t="s">
        <v>35</v>
      </c>
      <c r="M55" s="13"/>
      <c r="N55" s="15" t="n">
        <f aca="false">IFERROR(MATCH(K55,Lists!$A$2:$A$6,0),"")</f>
        <v>1</v>
      </c>
      <c r="O55" s="15" t="str">
        <f aca="false">IF(OR(G55="",H55=""),"",H55-G55)</f>
        <v/>
      </c>
      <c r="P55" s="15" t="str">
        <f aca="false">IF(OR(G55="",J55=""),"",J55-G55)</f>
        <v/>
      </c>
    </row>
    <row r="56" customFormat="false" ht="15" hidden="false" customHeight="false" outlineLevel="0" collapsed="false">
      <c r="A56" s="13" t="s">
        <v>210</v>
      </c>
      <c r="B56" s="13" t="s">
        <v>118</v>
      </c>
      <c r="C56" s="13" t="s">
        <v>211</v>
      </c>
      <c r="D56" s="13" t="s">
        <v>37</v>
      </c>
      <c r="E56" s="13" t="s">
        <v>31</v>
      </c>
      <c r="F56" s="13" t="s">
        <v>65</v>
      </c>
      <c r="G56" s="14" t="n">
        <v>46223</v>
      </c>
      <c r="H56" s="14" t="n">
        <v>46231</v>
      </c>
      <c r="I56" s="14" t="n">
        <v>46239</v>
      </c>
      <c r="J56" s="14"/>
      <c r="K56" s="13" t="s">
        <v>17</v>
      </c>
      <c r="L56" s="13" t="s">
        <v>34</v>
      </c>
      <c r="M56" s="13"/>
      <c r="N56" s="15" t="n">
        <f aca="false">IFERROR(MATCH(K56,Lists!$A$2:$A$6,0),"")</f>
        <v>3</v>
      </c>
      <c r="O56" s="15" t="n">
        <f aca="false">IF(OR(G56="",H56=""),"",H56-G56)</f>
        <v>8</v>
      </c>
      <c r="P56" s="15" t="str">
        <f aca="false">IF(OR(G56="",J56=""),"",J56-G56)</f>
        <v/>
      </c>
    </row>
    <row r="57" customFormat="false" ht="15" hidden="false" customHeight="false" outlineLevel="0" collapsed="false">
      <c r="A57" s="13" t="s">
        <v>212</v>
      </c>
      <c r="B57" s="13" t="s">
        <v>213</v>
      </c>
      <c r="C57" s="13" t="s">
        <v>214</v>
      </c>
      <c r="D57" s="13" t="s">
        <v>41</v>
      </c>
      <c r="E57" s="13" t="s">
        <v>27</v>
      </c>
      <c r="F57" s="13" t="s">
        <v>65</v>
      </c>
      <c r="G57" s="14" t="n">
        <v>46240</v>
      </c>
      <c r="H57" s="14"/>
      <c r="I57" s="14"/>
      <c r="J57" s="14"/>
      <c r="K57" s="13" t="s">
        <v>15</v>
      </c>
      <c r="L57" s="13" t="s">
        <v>35</v>
      </c>
      <c r="M57" s="13"/>
      <c r="N57" s="15" t="n">
        <f aca="false">IFERROR(MATCH(K57,Lists!$A$2:$A$6,0),"")</f>
        <v>1</v>
      </c>
      <c r="O57" s="15" t="str">
        <f aca="false">IF(OR(G57="",H57=""),"",H57-G57)</f>
        <v/>
      </c>
      <c r="P57" s="15" t="str">
        <f aca="false">IF(OR(G57="",J57=""),"",J57-G57)</f>
        <v/>
      </c>
    </row>
    <row r="58" customFormat="false" ht="15" hidden="false" customHeight="false" outlineLevel="0" collapsed="false">
      <c r="A58" s="13" t="s">
        <v>215</v>
      </c>
      <c r="B58" s="13" t="s">
        <v>216</v>
      </c>
      <c r="C58" s="13" t="s">
        <v>217</v>
      </c>
      <c r="D58" s="13" t="s">
        <v>41</v>
      </c>
      <c r="E58" s="13" t="s">
        <v>28</v>
      </c>
      <c r="F58" s="13" t="s">
        <v>61</v>
      </c>
      <c r="G58" s="14" t="n">
        <v>46241</v>
      </c>
      <c r="H58" s="14" t="n">
        <v>46247</v>
      </c>
      <c r="I58" s="14" t="n">
        <v>46256</v>
      </c>
      <c r="J58" s="14"/>
      <c r="K58" s="13" t="s">
        <v>17</v>
      </c>
      <c r="L58" s="13" t="s">
        <v>35</v>
      </c>
      <c r="M58" s="13"/>
      <c r="N58" s="15" t="n">
        <f aca="false">IFERROR(MATCH(K58,Lists!$A$2:$A$6,0),"")</f>
        <v>3</v>
      </c>
      <c r="O58" s="15" t="n">
        <f aca="false">IF(OR(G58="",H58=""),"",H58-G58)</f>
        <v>6</v>
      </c>
      <c r="P58" s="15" t="str">
        <f aca="false">IF(OR(G58="",J58=""),"",J58-G58)</f>
        <v/>
      </c>
    </row>
    <row r="59" customFormat="false" ht="15" hidden="false" customHeight="false" outlineLevel="0" collapsed="false">
      <c r="A59" s="13" t="s">
        <v>218</v>
      </c>
      <c r="B59" s="13" t="s">
        <v>219</v>
      </c>
      <c r="C59" s="13" t="s">
        <v>220</v>
      </c>
      <c r="D59" s="13" t="s">
        <v>38</v>
      </c>
      <c r="E59" s="13" t="s">
        <v>30</v>
      </c>
      <c r="F59" s="13" t="s">
        <v>57</v>
      </c>
      <c r="G59" s="14" t="n">
        <v>46234</v>
      </c>
      <c r="H59" s="14"/>
      <c r="I59" s="14"/>
      <c r="J59" s="14"/>
      <c r="K59" s="13" t="s">
        <v>15</v>
      </c>
      <c r="L59" s="13" t="s">
        <v>35</v>
      </c>
      <c r="M59" s="13"/>
      <c r="N59" s="15" t="n">
        <f aca="false">IFERROR(MATCH(K59,Lists!$A$2:$A$6,0),"")</f>
        <v>1</v>
      </c>
      <c r="O59" s="15" t="str">
        <f aca="false">IF(OR(G59="",H59=""),"",H59-G59)</f>
        <v/>
      </c>
      <c r="P59" s="15" t="str">
        <f aca="false">IF(OR(G59="",J59=""),"",J59-G59)</f>
        <v/>
      </c>
    </row>
    <row r="60" customFormat="false" ht="15" hidden="false" customHeight="false" outlineLevel="0" collapsed="false">
      <c r="A60" s="13" t="s">
        <v>221</v>
      </c>
      <c r="B60" s="13" t="s">
        <v>91</v>
      </c>
      <c r="C60" s="13" t="s">
        <v>222</v>
      </c>
      <c r="D60" s="13" t="s">
        <v>38</v>
      </c>
      <c r="E60" s="13" t="s">
        <v>27</v>
      </c>
      <c r="F60" s="13" t="s">
        <v>57</v>
      </c>
      <c r="G60" s="14" t="n">
        <v>46209</v>
      </c>
      <c r="H60" s="14" t="n">
        <v>46217</v>
      </c>
      <c r="I60" s="14" t="n">
        <v>46220</v>
      </c>
      <c r="J60" s="14"/>
      <c r="K60" s="13" t="s">
        <v>17</v>
      </c>
      <c r="L60" s="13" t="s">
        <v>35</v>
      </c>
      <c r="M60" s="13"/>
      <c r="N60" s="15" t="n">
        <f aca="false">IFERROR(MATCH(K60,Lists!$A$2:$A$6,0),"")</f>
        <v>3</v>
      </c>
      <c r="O60" s="15" t="n">
        <f aca="false">IF(OR(G60="",H60=""),"",H60-G60)</f>
        <v>8</v>
      </c>
      <c r="P60" s="15" t="str">
        <f aca="false">IF(OR(G60="",J60=""),"",J60-G60)</f>
        <v/>
      </c>
    </row>
    <row r="61" customFormat="false" ht="15" hidden="false" customHeight="false" outlineLevel="0" collapsed="false">
      <c r="A61" s="13" t="s">
        <v>223</v>
      </c>
      <c r="B61" s="13" t="s">
        <v>224</v>
      </c>
      <c r="C61" s="13" t="s">
        <v>225</v>
      </c>
      <c r="D61" s="13" t="s">
        <v>38</v>
      </c>
      <c r="E61" s="13" t="s">
        <v>30</v>
      </c>
      <c r="F61" s="13" t="s">
        <v>65</v>
      </c>
      <c r="G61" s="14" t="n">
        <v>46203</v>
      </c>
      <c r="H61" s="14"/>
      <c r="I61" s="14"/>
      <c r="J61" s="14"/>
      <c r="K61" s="13" t="s">
        <v>15</v>
      </c>
      <c r="L61" s="13" t="s">
        <v>35</v>
      </c>
      <c r="M61" s="13"/>
      <c r="N61" s="15" t="n">
        <f aca="false">IFERROR(MATCH(K61,Lists!$A$2:$A$6,0),"")</f>
        <v>1</v>
      </c>
      <c r="O61" s="15" t="str">
        <f aca="false">IF(OR(G61="",H61=""),"",H61-G61)</f>
        <v/>
      </c>
      <c r="P61" s="15" t="str">
        <f aca="false">IF(OR(G61="",J61=""),"",J61-G61)</f>
        <v/>
      </c>
    </row>
    <row r="62" customFormat="false" ht="15" hidden="false" customHeight="false" outlineLevel="0" collapsed="false">
      <c r="A62" s="13" t="s">
        <v>226</v>
      </c>
      <c r="B62" s="13" t="s">
        <v>227</v>
      </c>
      <c r="C62" s="13" t="s">
        <v>228</v>
      </c>
      <c r="D62" s="13" t="s">
        <v>40</v>
      </c>
      <c r="E62" s="13" t="s">
        <v>28</v>
      </c>
      <c r="F62" s="13" t="s">
        <v>61</v>
      </c>
      <c r="G62" s="14" t="n">
        <v>46233</v>
      </c>
      <c r="H62" s="14" t="n">
        <v>46240</v>
      </c>
      <c r="I62" s="14"/>
      <c r="J62" s="14"/>
      <c r="K62" s="13" t="s">
        <v>16</v>
      </c>
      <c r="L62" s="13" t="s">
        <v>34</v>
      </c>
      <c r="M62" s="13"/>
      <c r="N62" s="15" t="n">
        <f aca="false">IFERROR(MATCH(K62,Lists!$A$2:$A$6,0),"")</f>
        <v>2</v>
      </c>
      <c r="O62" s="15" t="n">
        <f aca="false">IF(OR(G62="",H62=""),"",H62-G62)</f>
        <v>7</v>
      </c>
      <c r="P62" s="15" t="str">
        <f aca="false">IF(OR(G62="",J62=""),"",J62-G62)</f>
        <v/>
      </c>
    </row>
    <row r="63" customFormat="false" ht="15" hidden="false" customHeight="false" outlineLevel="0" collapsed="false">
      <c r="A63" s="13" t="s">
        <v>229</v>
      </c>
      <c r="B63" s="13" t="s">
        <v>230</v>
      </c>
      <c r="C63" s="13" t="s">
        <v>231</v>
      </c>
      <c r="D63" s="13" t="s">
        <v>39</v>
      </c>
      <c r="E63" s="13" t="s">
        <v>30</v>
      </c>
      <c r="F63" s="13" t="s">
        <v>57</v>
      </c>
      <c r="G63" s="14" t="n">
        <v>46247</v>
      </c>
      <c r="H63" s="14" t="n">
        <v>46254</v>
      </c>
      <c r="I63" s="14" t="n">
        <v>46263</v>
      </c>
      <c r="J63" s="14" t="n">
        <v>46265</v>
      </c>
      <c r="K63" s="13" t="s">
        <v>18</v>
      </c>
      <c r="L63" s="13" t="s">
        <v>36</v>
      </c>
      <c r="M63" s="13"/>
      <c r="N63" s="15" t="n">
        <f aca="false">IFERROR(MATCH(K63,Lists!$A$2:$A$6,0),"")</f>
        <v>4</v>
      </c>
      <c r="O63" s="15" t="n">
        <f aca="false">IF(OR(G63="",H63=""),"",H63-G63)</f>
        <v>7</v>
      </c>
      <c r="P63" s="15" t="n">
        <f aca="false">IF(OR(G63="",J63=""),"",J63-G63)</f>
        <v>18</v>
      </c>
    </row>
    <row r="64" customFormat="false" ht="15" hidden="false" customHeight="false" outlineLevel="0" collapsed="false">
      <c r="A64" s="13" t="s">
        <v>232</v>
      </c>
      <c r="B64" s="13" t="s">
        <v>233</v>
      </c>
      <c r="C64" s="13" t="s">
        <v>234</v>
      </c>
      <c r="D64" s="13" t="s">
        <v>40</v>
      </c>
      <c r="E64" s="13" t="s">
        <v>27</v>
      </c>
      <c r="F64" s="13" t="s">
        <v>57</v>
      </c>
      <c r="G64" s="14" t="n">
        <v>46202</v>
      </c>
      <c r="H64" s="14" t="n">
        <v>46210</v>
      </c>
      <c r="I64" s="14" t="n">
        <v>46215</v>
      </c>
      <c r="J64" s="14"/>
      <c r="K64" s="13" t="s">
        <v>17</v>
      </c>
      <c r="L64" s="13" t="s">
        <v>34</v>
      </c>
      <c r="M64" s="13"/>
      <c r="N64" s="15" t="n">
        <f aca="false">IFERROR(MATCH(K64,Lists!$A$2:$A$6,0),"")</f>
        <v>3</v>
      </c>
      <c r="O64" s="15" t="n">
        <f aca="false">IF(OR(G64="",H64=""),"",H64-G64)</f>
        <v>8</v>
      </c>
      <c r="P64" s="15" t="str">
        <f aca="false">IF(OR(G64="",J64=""),"",J64-G64)</f>
        <v/>
      </c>
    </row>
    <row r="65" customFormat="false" ht="15" hidden="false" customHeight="false" outlineLevel="0" collapsed="false">
      <c r="A65" s="13" t="s">
        <v>235</v>
      </c>
      <c r="B65" s="13" t="s">
        <v>236</v>
      </c>
      <c r="C65" s="13" t="s">
        <v>237</v>
      </c>
      <c r="D65" s="13" t="s">
        <v>41</v>
      </c>
      <c r="E65" s="13" t="s">
        <v>28</v>
      </c>
      <c r="F65" s="13" t="s">
        <v>57</v>
      </c>
      <c r="G65" s="14" t="n">
        <v>46233</v>
      </c>
      <c r="H65" s="14"/>
      <c r="I65" s="14"/>
      <c r="J65" s="14"/>
      <c r="K65" s="13" t="s">
        <v>15</v>
      </c>
      <c r="L65" s="13" t="s">
        <v>36</v>
      </c>
      <c r="M65" s="13"/>
      <c r="N65" s="15" t="n">
        <f aca="false">IFERROR(MATCH(K65,Lists!$A$2:$A$6,0),"")</f>
        <v>1</v>
      </c>
      <c r="O65" s="15" t="str">
        <f aca="false">IF(OR(G65="",H65=""),"",H65-G65)</f>
        <v/>
      </c>
      <c r="P65" s="15" t="str">
        <f aca="false">IF(OR(G65="",J65=""),"",J65-G65)</f>
        <v/>
      </c>
    </row>
    <row r="66" customFormat="false" ht="15" hidden="false" customHeight="false" outlineLevel="0" collapsed="false">
      <c r="A66" s="13" t="s">
        <v>238</v>
      </c>
      <c r="B66" s="13" t="s">
        <v>239</v>
      </c>
      <c r="C66" s="13" t="s">
        <v>240</v>
      </c>
      <c r="D66" s="13" t="s">
        <v>38</v>
      </c>
      <c r="E66" s="13" t="s">
        <v>27</v>
      </c>
      <c r="F66" s="13" t="s">
        <v>57</v>
      </c>
      <c r="G66" s="14" t="n">
        <v>46184</v>
      </c>
      <c r="H66" s="14" t="n">
        <v>46191</v>
      </c>
      <c r="I66" s="14" t="n">
        <v>46195</v>
      </c>
      <c r="J66" s="14"/>
      <c r="K66" s="13" t="s">
        <v>17</v>
      </c>
      <c r="L66" s="13" t="s">
        <v>35</v>
      </c>
      <c r="M66" s="13"/>
      <c r="N66" s="15" t="n">
        <f aca="false">IFERROR(MATCH(K66,Lists!$A$2:$A$6,0),"")</f>
        <v>3</v>
      </c>
      <c r="O66" s="15" t="n">
        <f aca="false">IF(OR(G66="",H66=""),"",H66-G66)</f>
        <v>7</v>
      </c>
      <c r="P66" s="15" t="str">
        <f aca="false">IF(OR(G66="",J66=""),"",J66-G66)</f>
        <v/>
      </c>
    </row>
    <row r="67" customFormat="false" ht="15" hidden="false" customHeight="false" outlineLevel="0" collapsed="false">
      <c r="A67" s="13" t="s">
        <v>241</v>
      </c>
      <c r="B67" s="13" t="s">
        <v>151</v>
      </c>
      <c r="C67" s="13" t="s">
        <v>242</v>
      </c>
      <c r="D67" s="13" t="s">
        <v>40</v>
      </c>
      <c r="E67" s="13" t="s">
        <v>27</v>
      </c>
      <c r="F67" s="13" t="s">
        <v>65</v>
      </c>
      <c r="G67" s="14" t="n">
        <v>46217</v>
      </c>
      <c r="H67" s="14" t="n">
        <v>46224</v>
      </c>
      <c r="I67" s="14"/>
      <c r="J67" s="14"/>
      <c r="K67" s="13" t="s">
        <v>16</v>
      </c>
      <c r="L67" s="13" t="s">
        <v>34</v>
      </c>
      <c r="M67" s="13"/>
      <c r="N67" s="15" t="n">
        <f aca="false">IFERROR(MATCH(K67,Lists!$A$2:$A$6,0),"")</f>
        <v>2</v>
      </c>
      <c r="O67" s="15" t="n">
        <f aca="false">IF(OR(G67="",H67=""),"",H67-G67)</f>
        <v>7</v>
      </c>
      <c r="P67" s="15" t="str">
        <f aca="false">IF(OR(G67="",J67=""),"",J67-G67)</f>
        <v/>
      </c>
    </row>
    <row r="68" customFormat="false" ht="15" hidden="false" customHeight="false" outlineLevel="0" collapsed="false">
      <c r="A68" s="13" t="s">
        <v>243</v>
      </c>
      <c r="B68" s="13" t="s">
        <v>244</v>
      </c>
      <c r="C68" s="13" t="s">
        <v>245</v>
      </c>
      <c r="D68" s="13" t="s">
        <v>37</v>
      </c>
      <c r="E68" s="13" t="s">
        <v>30</v>
      </c>
      <c r="F68" s="13" t="s">
        <v>65</v>
      </c>
      <c r="G68" s="14" t="n">
        <v>46180</v>
      </c>
      <c r="H68" s="14" t="n">
        <v>46186</v>
      </c>
      <c r="I68" s="14" t="n">
        <v>46191</v>
      </c>
      <c r="J68" s="14"/>
      <c r="K68" s="13" t="s">
        <v>17</v>
      </c>
      <c r="L68" s="13" t="s">
        <v>35</v>
      </c>
      <c r="M68" s="13"/>
      <c r="N68" s="15" t="n">
        <f aca="false">IFERROR(MATCH(K68,Lists!$A$2:$A$6,0),"")</f>
        <v>3</v>
      </c>
      <c r="O68" s="15" t="n">
        <f aca="false">IF(OR(G68="",H68=""),"",H68-G68)</f>
        <v>6</v>
      </c>
      <c r="P68" s="15" t="str">
        <f aca="false">IF(OR(G68="",J68=""),"",J68-G68)</f>
        <v/>
      </c>
    </row>
    <row r="69" customFormat="false" ht="15" hidden="false" customHeight="false" outlineLevel="0" collapsed="false">
      <c r="A69" s="13" t="s">
        <v>246</v>
      </c>
      <c r="B69" s="13" t="s">
        <v>247</v>
      </c>
      <c r="C69" s="13" t="s">
        <v>248</v>
      </c>
      <c r="D69" s="13" t="s">
        <v>40</v>
      </c>
      <c r="E69" s="13" t="s">
        <v>29</v>
      </c>
      <c r="F69" s="13" t="s">
        <v>61</v>
      </c>
      <c r="G69" s="14" t="n">
        <v>46193</v>
      </c>
      <c r="H69" s="14"/>
      <c r="I69" s="14"/>
      <c r="J69" s="14"/>
      <c r="K69" s="13" t="s">
        <v>15</v>
      </c>
      <c r="L69" s="13" t="s">
        <v>34</v>
      </c>
      <c r="M69" s="13"/>
      <c r="N69" s="15" t="n">
        <f aca="false">IFERROR(MATCH(K69,Lists!$A$2:$A$6,0),"")</f>
        <v>1</v>
      </c>
      <c r="O69" s="15" t="str">
        <f aca="false">IF(OR(G69="",H69=""),"",H69-G69)</f>
        <v/>
      </c>
      <c r="P69" s="15" t="str">
        <f aca="false">IF(OR(G69="",J69=""),"",J69-G69)</f>
        <v/>
      </c>
    </row>
    <row r="70" customFormat="false" ht="15" hidden="false" customHeight="false" outlineLevel="0" collapsed="false">
      <c r="A70" s="13" t="s">
        <v>249</v>
      </c>
      <c r="B70" s="13" t="s">
        <v>250</v>
      </c>
      <c r="C70" s="13" t="s">
        <v>251</v>
      </c>
      <c r="D70" s="13" t="s">
        <v>38</v>
      </c>
      <c r="E70" s="13" t="s">
        <v>31</v>
      </c>
      <c r="F70" s="13" t="s">
        <v>65</v>
      </c>
      <c r="G70" s="14" t="n">
        <v>46221</v>
      </c>
      <c r="H70" s="14" t="n">
        <v>46224</v>
      </c>
      <c r="I70" s="14" t="n">
        <v>46227</v>
      </c>
      <c r="J70" s="14"/>
      <c r="K70" s="13" t="s">
        <v>17</v>
      </c>
      <c r="L70" s="13" t="s">
        <v>35</v>
      </c>
      <c r="M70" s="13"/>
      <c r="N70" s="15" t="n">
        <f aca="false">IFERROR(MATCH(K70,Lists!$A$2:$A$6,0),"")</f>
        <v>3</v>
      </c>
      <c r="O70" s="15" t="n">
        <f aca="false">IF(OR(G70="",H70=""),"",H70-G70)</f>
        <v>3</v>
      </c>
      <c r="P70" s="15" t="str">
        <f aca="false">IF(OR(G70="",J70=""),"",J70-G70)</f>
        <v/>
      </c>
    </row>
    <row r="71" customFormat="false" ht="15" hidden="false" customHeight="false" outlineLevel="0" collapsed="false">
      <c r="A71" s="13" t="s">
        <v>252</v>
      </c>
      <c r="B71" s="13" t="s">
        <v>253</v>
      </c>
      <c r="C71" s="13" t="s">
        <v>254</v>
      </c>
      <c r="D71" s="13" t="s">
        <v>38</v>
      </c>
      <c r="E71" s="13" t="s">
        <v>27</v>
      </c>
      <c r="F71" s="13" t="s">
        <v>61</v>
      </c>
      <c r="G71" s="14" t="n">
        <v>46247</v>
      </c>
      <c r="H71" s="14" t="n">
        <v>46254</v>
      </c>
      <c r="I71" s="14" t="n">
        <v>46262</v>
      </c>
      <c r="J71" s="14" t="n">
        <v>46269</v>
      </c>
      <c r="K71" s="13" t="s">
        <v>19</v>
      </c>
      <c r="L71" s="13" t="s">
        <v>19</v>
      </c>
      <c r="M71" s="13"/>
      <c r="N71" s="15" t="n">
        <f aca="false">IFERROR(MATCH(K71,Lists!$A$2:$A$6,0),"")</f>
        <v>5</v>
      </c>
      <c r="O71" s="15" t="n">
        <f aca="false">IF(OR(G71="",H71=""),"",H71-G71)</f>
        <v>7</v>
      </c>
      <c r="P71" s="15" t="n">
        <f aca="false">IF(OR(G71="",J71=""),"",J71-G71)</f>
        <v>22</v>
      </c>
    </row>
    <row r="72" customFormat="false" ht="15" hidden="false" customHeight="false" outlineLevel="0" collapsed="false">
      <c r="A72" s="13" t="s">
        <v>255</v>
      </c>
      <c r="B72" s="13" t="s">
        <v>256</v>
      </c>
      <c r="C72" s="13" t="s">
        <v>257</v>
      </c>
      <c r="D72" s="13" t="s">
        <v>40</v>
      </c>
      <c r="E72" s="13" t="s">
        <v>29</v>
      </c>
      <c r="F72" s="13" t="s">
        <v>65</v>
      </c>
      <c r="G72" s="14" t="n">
        <v>46212</v>
      </c>
      <c r="H72" s="14" t="n">
        <v>46214</v>
      </c>
      <c r="I72" s="14" t="n">
        <v>46216</v>
      </c>
      <c r="J72" s="14"/>
      <c r="K72" s="13" t="s">
        <v>17</v>
      </c>
      <c r="L72" s="13" t="s">
        <v>34</v>
      </c>
      <c r="M72" s="13"/>
      <c r="N72" s="15" t="n">
        <f aca="false">IFERROR(MATCH(K72,Lists!$A$2:$A$6,0),"")</f>
        <v>3</v>
      </c>
      <c r="O72" s="15" t="n">
        <f aca="false">IF(OR(G72="",H72=""),"",H72-G72)</f>
        <v>2</v>
      </c>
      <c r="P72" s="15" t="str">
        <f aca="false">IF(OR(G72="",J72=""),"",J72-G72)</f>
        <v/>
      </c>
    </row>
    <row r="73" customFormat="false" ht="15" hidden="false" customHeight="false" outlineLevel="0" collapsed="false">
      <c r="A73" s="13" t="s">
        <v>258</v>
      </c>
      <c r="B73" s="13" t="s">
        <v>259</v>
      </c>
      <c r="C73" s="13" t="s">
        <v>260</v>
      </c>
      <c r="D73" s="13" t="s">
        <v>39</v>
      </c>
      <c r="E73" s="13" t="s">
        <v>29</v>
      </c>
      <c r="F73" s="13" t="s">
        <v>57</v>
      </c>
      <c r="G73" s="14" t="n">
        <v>46227</v>
      </c>
      <c r="H73" s="14" t="n">
        <v>46235</v>
      </c>
      <c r="I73" s="14"/>
      <c r="J73" s="14"/>
      <c r="K73" s="13" t="s">
        <v>16</v>
      </c>
      <c r="L73" s="13" t="s">
        <v>34</v>
      </c>
      <c r="M73" s="13"/>
      <c r="N73" s="15" t="n">
        <f aca="false">IFERROR(MATCH(K73,Lists!$A$2:$A$6,0),"")</f>
        <v>2</v>
      </c>
      <c r="O73" s="15" t="n">
        <f aca="false">IF(OR(G73="",H73=""),"",H73-G73)</f>
        <v>8</v>
      </c>
      <c r="P73" s="15" t="str">
        <f aca="false">IF(OR(G73="",J73=""),"",J73-G73)</f>
        <v/>
      </c>
    </row>
    <row r="74" customFormat="false" ht="15" hidden="false" customHeight="false" outlineLevel="0" collapsed="false">
      <c r="A74" s="13" t="s">
        <v>261</v>
      </c>
      <c r="B74" s="13" t="s">
        <v>262</v>
      </c>
      <c r="C74" s="13" t="s">
        <v>263</v>
      </c>
      <c r="D74" s="13" t="s">
        <v>39</v>
      </c>
      <c r="E74" s="13" t="s">
        <v>29</v>
      </c>
      <c r="F74" s="13" t="s">
        <v>61</v>
      </c>
      <c r="G74" s="14" t="n">
        <v>46240</v>
      </c>
      <c r="H74" s="14"/>
      <c r="I74" s="14"/>
      <c r="J74" s="14"/>
      <c r="K74" s="13" t="s">
        <v>15</v>
      </c>
      <c r="L74" s="13" t="s">
        <v>36</v>
      </c>
      <c r="M74" s="13"/>
      <c r="N74" s="15" t="n">
        <f aca="false">IFERROR(MATCH(K74,Lists!$A$2:$A$6,0),"")</f>
        <v>1</v>
      </c>
      <c r="O74" s="15" t="str">
        <f aca="false">IF(OR(G74="",H74=""),"",H74-G74)</f>
        <v/>
      </c>
      <c r="P74" s="15" t="str">
        <f aca="false">IF(OR(G74="",J74=""),"",J74-G74)</f>
        <v/>
      </c>
    </row>
    <row r="75" customFormat="false" ht="15" hidden="false" customHeight="false" outlineLevel="0" collapsed="false">
      <c r="A75" s="13" t="s">
        <v>264</v>
      </c>
      <c r="B75" s="13" t="s">
        <v>265</v>
      </c>
      <c r="C75" s="13" t="s">
        <v>266</v>
      </c>
      <c r="D75" s="13" t="s">
        <v>38</v>
      </c>
      <c r="E75" s="13" t="s">
        <v>30</v>
      </c>
      <c r="F75" s="13" t="s">
        <v>65</v>
      </c>
      <c r="G75" s="14" t="n">
        <v>46249</v>
      </c>
      <c r="H75" s="14" t="n">
        <v>46254</v>
      </c>
      <c r="I75" s="14"/>
      <c r="J75" s="14"/>
      <c r="K75" s="13" t="s">
        <v>16</v>
      </c>
      <c r="L75" s="13" t="s">
        <v>34</v>
      </c>
      <c r="M75" s="13"/>
      <c r="N75" s="15" t="n">
        <f aca="false">IFERROR(MATCH(K75,Lists!$A$2:$A$6,0),"")</f>
        <v>2</v>
      </c>
      <c r="O75" s="15" t="n">
        <f aca="false">IF(OR(G75="",H75=""),"",H75-G75)</f>
        <v>5</v>
      </c>
      <c r="P75" s="15" t="str">
        <f aca="false">IF(OR(G75="",J75=""),"",J75-G75)</f>
        <v/>
      </c>
    </row>
    <row r="76" customFormat="false" ht="15" hidden="false" customHeight="false" outlineLevel="0" collapsed="false">
      <c r="A76" s="13" t="s">
        <v>267</v>
      </c>
      <c r="B76" s="13" t="s">
        <v>268</v>
      </c>
      <c r="C76" s="13" t="s">
        <v>269</v>
      </c>
      <c r="D76" s="13" t="s">
        <v>40</v>
      </c>
      <c r="E76" s="13" t="s">
        <v>31</v>
      </c>
      <c r="F76" s="13" t="s">
        <v>65</v>
      </c>
      <c r="G76" s="14" t="n">
        <v>46233</v>
      </c>
      <c r="H76" s="14" t="n">
        <v>46240</v>
      </c>
      <c r="I76" s="14"/>
      <c r="J76" s="14"/>
      <c r="K76" s="13" t="s">
        <v>16</v>
      </c>
      <c r="L76" s="13" t="s">
        <v>34</v>
      </c>
      <c r="M76" s="13"/>
      <c r="N76" s="15" t="n">
        <f aca="false">IFERROR(MATCH(K76,Lists!$A$2:$A$6,0),"")</f>
        <v>2</v>
      </c>
      <c r="O76" s="15" t="n">
        <f aca="false">IF(OR(G76="",H76=""),"",H76-G76)</f>
        <v>7</v>
      </c>
      <c r="P76" s="15" t="str">
        <f aca="false">IF(OR(G76="",J76=""),"",J76-G76)</f>
        <v/>
      </c>
    </row>
    <row r="77" customFormat="false" ht="15" hidden="false" customHeight="false" outlineLevel="0" collapsed="false">
      <c r="A77" s="13" t="s">
        <v>270</v>
      </c>
      <c r="B77" s="13" t="s">
        <v>181</v>
      </c>
      <c r="C77" s="13" t="s">
        <v>271</v>
      </c>
      <c r="D77" s="13" t="s">
        <v>41</v>
      </c>
      <c r="E77" s="13" t="s">
        <v>30</v>
      </c>
      <c r="F77" s="13" t="s">
        <v>57</v>
      </c>
      <c r="G77" s="14" t="n">
        <v>46207</v>
      </c>
      <c r="H77" s="14" t="n">
        <v>46213</v>
      </c>
      <c r="I77" s="14"/>
      <c r="J77" s="14"/>
      <c r="K77" s="13" t="s">
        <v>16</v>
      </c>
      <c r="L77" s="13" t="s">
        <v>34</v>
      </c>
      <c r="M77" s="13"/>
      <c r="N77" s="15" t="n">
        <f aca="false">IFERROR(MATCH(K77,Lists!$A$2:$A$6,0),"")</f>
        <v>2</v>
      </c>
      <c r="O77" s="15" t="n">
        <f aca="false">IF(OR(G77="",H77=""),"",H77-G77)</f>
        <v>6</v>
      </c>
      <c r="P77" s="15" t="str">
        <f aca="false">IF(OR(G77="",J77=""),"",J77-G77)</f>
        <v/>
      </c>
    </row>
    <row r="78" customFormat="false" ht="15" hidden="false" customHeight="false" outlineLevel="0" collapsed="false">
      <c r="A78" s="13" t="s">
        <v>272</v>
      </c>
      <c r="B78" s="13" t="s">
        <v>273</v>
      </c>
      <c r="C78" s="13" t="s">
        <v>274</v>
      </c>
      <c r="D78" s="13" t="s">
        <v>40</v>
      </c>
      <c r="E78" s="13" t="s">
        <v>28</v>
      </c>
      <c r="F78" s="13" t="s">
        <v>65</v>
      </c>
      <c r="G78" s="14" t="n">
        <v>46198</v>
      </c>
      <c r="H78" s="14" t="n">
        <v>46200</v>
      </c>
      <c r="I78" s="14"/>
      <c r="J78" s="14"/>
      <c r="K78" s="13" t="s">
        <v>16</v>
      </c>
      <c r="L78" s="13" t="s">
        <v>34</v>
      </c>
      <c r="M78" s="13"/>
      <c r="N78" s="15" t="n">
        <f aca="false">IFERROR(MATCH(K78,Lists!$A$2:$A$6,0),"")</f>
        <v>2</v>
      </c>
      <c r="O78" s="15" t="n">
        <f aca="false">IF(OR(G78="",H78=""),"",H78-G78)</f>
        <v>2</v>
      </c>
      <c r="P78" s="15" t="str">
        <f aca="false">IF(OR(G78="",J78=""),"",J78-G78)</f>
        <v/>
      </c>
    </row>
    <row r="79" customFormat="false" ht="15" hidden="false" customHeight="false" outlineLevel="0" collapsed="false">
      <c r="A79" s="13" t="s">
        <v>275</v>
      </c>
      <c r="B79" s="13" t="s">
        <v>276</v>
      </c>
      <c r="C79" s="13" t="s">
        <v>277</v>
      </c>
      <c r="D79" s="13" t="s">
        <v>40</v>
      </c>
      <c r="E79" s="13" t="s">
        <v>29</v>
      </c>
      <c r="F79" s="13" t="s">
        <v>57</v>
      </c>
      <c r="G79" s="14" t="n">
        <v>46231</v>
      </c>
      <c r="H79" s="14" t="n">
        <v>46232</v>
      </c>
      <c r="I79" s="14" t="n">
        <v>46235</v>
      </c>
      <c r="J79" s="14"/>
      <c r="K79" s="13" t="s">
        <v>17</v>
      </c>
      <c r="L79" s="13" t="s">
        <v>34</v>
      </c>
      <c r="M79" s="13"/>
      <c r="N79" s="15" t="n">
        <f aca="false">IFERROR(MATCH(K79,Lists!$A$2:$A$6,0),"")</f>
        <v>3</v>
      </c>
      <c r="O79" s="15" t="n">
        <f aca="false">IF(OR(G79="",H79=""),"",H79-G79)</f>
        <v>1</v>
      </c>
      <c r="P79" s="15" t="str">
        <f aca="false">IF(OR(G79="",J79=""),"",J79-G79)</f>
        <v/>
      </c>
    </row>
    <row r="80" customFormat="false" ht="15" hidden="false" customHeight="false" outlineLevel="0" collapsed="false">
      <c r="A80" s="13" t="s">
        <v>278</v>
      </c>
      <c r="B80" s="13" t="s">
        <v>279</v>
      </c>
      <c r="C80" s="13" t="s">
        <v>280</v>
      </c>
      <c r="D80" s="13" t="s">
        <v>41</v>
      </c>
      <c r="E80" s="13" t="s">
        <v>28</v>
      </c>
      <c r="F80" s="13" t="s">
        <v>61</v>
      </c>
      <c r="G80" s="14" t="n">
        <v>46241</v>
      </c>
      <c r="H80" s="14" t="n">
        <v>46247</v>
      </c>
      <c r="I80" s="14"/>
      <c r="J80" s="14"/>
      <c r="K80" s="13" t="s">
        <v>16</v>
      </c>
      <c r="L80" s="13" t="s">
        <v>35</v>
      </c>
      <c r="M80" s="13"/>
      <c r="N80" s="15" t="n">
        <f aca="false">IFERROR(MATCH(K80,Lists!$A$2:$A$6,0),"")</f>
        <v>2</v>
      </c>
      <c r="O80" s="15" t="n">
        <f aca="false">IF(OR(G80="",H80=""),"",H80-G80)</f>
        <v>6</v>
      </c>
      <c r="P80" s="15" t="str">
        <f aca="false">IF(OR(G80="",J80=""),"",J80-G80)</f>
        <v/>
      </c>
    </row>
    <row r="81" customFormat="false" ht="15" hidden="false" customHeight="false" outlineLevel="0" collapsed="false">
      <c r="A81" s="13" t="s">
        <v>281</v>
      </c>
      <c r="B81" s="13" t="s">
        <v>282</v>
      </c>
      <c r="C81" s="13" t="s">
        <v>283</v>
      </c>
      <c r="D81" s="13" t="s">
        <v>39</v>
      </c>
      <c r="E81" s="13" t="s">
        <v>27</v>
      </c>
      <c r="F81" s="13" t="s">
        <v>61</v>
      </c>
      <c r="G81" s="14" t="n">
        <v>46203</v>
      </c>
      <c r="H81" s="14" t="n">
        <v>46205</v>
      </c>
      <c r="I81" s="14"/>
      <c r="J81" s="14"/>
      <c r="K81" s="13" t="s">
        <v>16</v>
      </c>
      <c r="L81" s="13" t="s">
        <v>35</v>
      </c>
      <c r="M81" s="13"/>
      <c r="N81" s="15" t="n">
        <f aca="false">IFERROR(MATCH(K81,Lists!$A$2:$A$6,0),"")</f>
        <v>2</v>
      </c>
      <c r="O81" s="15" t="n">
        <f aca="false">IF(OR(G81="",H81=""),"",H81-G81)</f>
        <v>2</v>
      </c>
      <c r="P81" s="15" t="str">
        <f aca="false">IF(OR(G81="",J81=""),"",J81-G81)</f>
        <v/>
      </c>
    </row>
    <row r="82" customFormat="false" ht="15" hidden="false" customHeight="false" outlineLevel="0" collapsed="false">
      <c r="A82" s="13" t="s">
        <v>284</v>
      </c>
      <c r="B82" s="13" t="s">
        <v>285</v>
      </c>
      <c r="C82" s="13" t="s">
        <v>286</v>
      </c>
      <c r="D82" s="13" t="s">
        <v>41</v>
      </c>
      <c r="E82" s="13" t="s">
        <v>31</v>
      </c>
      <c r="F82" s="13" t="s">
        <v>61</v>
      </c>
      <c r="G82" s="14" t="n">
        <v>46235</v>
      </c>
      <c r="H82" s="14"/>
      <c r="I82" s="14"/>
      <c r="J82" s="14"/>
      <c r="K82" s="13" t="s">
        <v>15</v>
      </c>
      <c r="L82" s="13" t="s">
        <v>34</v>
      </c>
      <c r="M82" s="13"/>
      <c r="N82" s="15" t="n">
        <f aca="false">IFERROR(MATCH(K82,Lists!$A$2:$A$6,0),"")</f>
        <v>1</v>
      </c>
      <c r="O82" s="15" t="str">
        <f aca="false">IF(OR(G82="",H82=""),"",H82-G82)</f>
        <v/>
      </c>
      <c r="P82" s="15" t="str">
        <f aca="false">IF(OR(G82="",J82=""),"",J82-G82)</f>
        <v/>
      </c>
    </row>
    <row r="83" customFormat="false" ht="15" hidden="false" customHeight="false" outlineLevel="0" collapsed="false">
      <c r="A83" s="13" t="s">
        <v>287</v>
      </c>
      <c r="B83" s="13" t="s">
        <v>288</v>
      </c>
      <c r="C83" s="13" t="s">
        <v>289</v>
      </c>
      <c r="D83" s="13" t="s">
        <v>38</v>
      </c>
      <c r="E83" s="13" t="s">
        <v>28</v>
      </c>
      <c r="F83" s="13" t="s">
        <v>61</v>
      </c>
      <c r="G83" s="14" t="n">
        <v>46198</v>
      </c>
      <c r="H83" s="14" t="n">
        <v>46203</v>
      </c>
      <c r="I83" s="14" t="n">
        <v>46208</v>
      </c>
      <c r="J83" s="14" t="n">
        <v>46212</v>
      </c>
      <c r="K83" s="13" t="s">
        <v>19</v>
      </c>
      <c r="L83" s="13" t="s">
        <v>19</v>
      </c>
      <c r="M83" s="13"/>
      <c r="N83" s="15" t="n">
        <f aca="false">IFERROR(MATCH(K83,Lists!$A$2:$A$6,0),"")</f>
        <v>5</v>
      </c>
      <c r="O83" s="15" t="n">
        <f aca="false">IF(OR(G83="",H83=""),"",H83-G83)</f>
        <v>5</v>
      </c>
      <c r="P83" s="15" t="n">
        <f aca="false">IF(OR(G83="",J83=""),"",J83-G83)</f>
        <v>14</v>
      </c>
    </row>
    <row r="84" customFormat="false" ht="15" hidden="false" customHeight="false" outlineLevel="0" collapsed="false">
      <c r="A84" s="13" t="s">
        <v>290</v>
      </c>
      <c r="B84" s="13" t="s">
        <v>163</v>
      </c>
      <c r="C84" s="13" t="s">
        <v>291</v>
      </c>
      <c r="D84" s="13" t="s">
        <v>38</v>
      </c>
      <c r="E84" s="13" t="s">
        <v>29</v>
      </c>
      <c r="F84" s="13" t="s">
        <v>57</v>
      </c>
      <c r="G84" s="14" t="n">
        <v>46180</v>
      </c>
      <c r="H84" s="14"/>
      <c r="I84" s="14"/>
      <c r="J84" s="14"/>
      <c r="K84" s="13" t="s">
        <v>15</v>
      </c>
      <c r="L84" s="13" t="s">
        <v>35</v>
      </c>
      <c r="M84" s="13"/>
      <c r="N84" s="15" t="n">
        <f aca="false">IFERROR(MATCH(K84,Lists!$A$2:$A$6,0),"")</f>
        <v>1</v>
      </c>
      <c r="O84" s="15" t="str">
        <f aca="false">IF(OR(G84="",H84=""),"",H84-G84)</f>
        <v/>
      </c>
      <c r="P84" s="15" t="str">
        <f aca="false">IF(OR(G84="",J84=""),"",J84-G84)</f>
        <v/>
      </c>
    </row>
    <row r="85" customFormat="false" ht="15" hidden="false" customHeight="false" outlineLevel="0" collapsed="false">
      <c r="A85" s="13" t="s">
        <v>292</v>
      </c>
      <c r="B85" s="13" t="s">
        <v>293</v>
      </c>
      <c r="C85" s="13" t="s">
        <v>294</v>
      </c>
      <c r="D85" s="13" t="s">
        <v>40</v>
      </c>
      <c r="E85" s="13" t="s">
        <v>28</v>
      </c>
      <c r="F85" s="13" t="s">
        <v>65</v>
      </c>
      <c r="G85" s="14" t="n">
        <v>46210</v>
      </c>
      <c r="H85" s="14"/>
      <c r="I85" s="14"/>
      <c r="J85" s="14"/>
      <c r="K85" s="13" t="s">
        <v>15</v>
      </c>
      <c r="L85" s="13" t="s">
        <v>35</v>
      </c>
      <c r="M85" s="13"/>
      <c r="N85" s="15" t="n">
        <f aca="false">IFERROR(MATCH(K85,Lists!$A$2:$A$6,0),"")</f>
        <v>1</v>
      </c>
      <c r="O85" s="15" t="str">
        <f aca="false">IF(OR(G85="",H85=""),"",H85-G85)</f>
        <v/>
      </c>
      <c r="P85" s="15" t="str">
        <f aca="false">IF(OR(G85="",J85=""),"",J85-G85)</f>
        <v/>
      </c>
    </row>
    <row r="86" customFormat="false" ht="15" hidden="false" customHeight="false" outlineLevel="0" collapsed="false">
      <c r="A86" s="13" t="s">
        <v>295</v>
      </c>
      <c r="B86" s="13" t="s">
        <v>296</v>
      </c>
      <c r="C86" s="13" t="s">
        <v>297</v>
      </c>
      <c r="D86" s="13" t="s">
        <v>41</v>
      </c>
      <c r="E86" s="13" t="s">
        <v>29</v>
      </c>
      <c r="F86" s="13" t="s">
        <v>65</v>
      </c>
      <c r="G86" s="14" t="n">
        <v>46182</v>
      </c>
      <c r="H86" s="14" t="n">
        <v>46189</v>
      </c>
      <c r="I86" s="14"/>
      <c r="J86" s="14"/>
      <c r="K86" s="13" t="s">
        <v>16</v>
      </c>
      <c r="L86" s="13" t="s">
        <v>35</v>
      </c>
      <c r="M86" s="13"/>
      <c r="N86" s="15" t="n">
        <f aca="false">IFERROR(MATCH(K86,Lists!$A$2:$A$6,0),"")</f>
        <v>2</v>
      </c>
      <c r="O86" s="15" t="n">
        <f aca="false">IF(OR(G86="",H86=""),"",H86-G86)</f>
        <v>7</v>
      </c>
      <c r="P86" s="15" t="str">
        <f aca="false">IF(OR(G86="",J86=""),"",J86-G86)</f>
        <v/>
      </c>
    </row>
    <row r="87" customFormat="false" ht="15" hidden="false" customHeight="false" outlineLevel="0" collapsed="false">
      <c r="A87" s="13" t="s">
        <v>298</v>
      </c>
      <c r="B87" s="13" t="s">
        <v>299</v>
      </c>
      <c r="C87" s="13" t="s">
        <v>300</v>
      </c>
      <c r="D87" s="13" t="s">
        <v>40</v>
      </c>
      <c r="E87" s="13" t="s">
        <v>29</v>
      </c>
      <c r="F87" s="13" t="s">
        <v>61</v>
      </c>
      <c r="G87" s="14" t="n">
        <v>46212</v>
      </c>
      <c r="H87" s="14" t="n">
        <v>46214</v>
      </c>
      <c r="I87" s="14" t="n">
        <v>46219</v>
      </c>
      <c r="J87" s="14"/>
      <c r="K87" s="13" t="s">
        <v>17</v>
      </c>
      <c r="L87" s="13" t="s">
        <v>34</v>
      </c>
      <c r="M87" s="13"/>
      <c r="N87" s="15" t="n">
        <f aca="false">IFERROR(MATCH(K87,Lists!$A$2:$A$6,0),"")</f>
        <v>3</v>
      </c>
      <c r="O87" s="15" t="n">
        <f aca="false">IF(OR(G87="",H87=""),"",H87-G87)</f>
        <v>2</v>
      </c>
      <c r="P87" s="15" t="str">
        <f aca="false">IF(OR(G87="",J87=""),"",J87-G87)</f>
        <v/>
      </c>
    </row>
    <row r="88" customFormat="false" ht="15" hidden="false" customHeight="false" outlineLevel="0" collapsed="false">
      <c r="A88" s="13" t="s">
        <v>301</v>
      </c>
      <c r="B88" s="13" t="s">
        <v>302</v>
      </c>
      <c r="C88" s="13" t="s">
        <v>303</v>
      </c>
      <c r="D88" s="13" t="s">
        <v>41</v>
      </c>
      <c r="E88" s="13" t="s">
        <v>31</v>
      </c>
      <c r="F88" s="13" t="s">
        <v>57</v>
      </c>
      <c r="G88" s="14" t="n">
        <v>46231</v>
      </c>
      <c r="H88" s="14" t="n">
        <v>46239</v>
      </c>
      <c r="I88" s="14"/>
      <c r="J88" s="14"/>
      <c r="K88" s="13" t="s">
        <v>16</v>
      </c>
      <c r="L88" s="13" t="s">
        <v>34</v>
      </c>
      <c r="M88" s="13"/>
      <c r="N88" s="15" t="n">
        <f aca="false">IFERROR(MATCH(K88,Lists!$A$2:$A$6,0),"")</f>
        <v>2</v>
      </c>
      <c r="O88" s="15" t="n">
        <f aca="false">IF(OR(G88="",H88=""),"",H88-G88)</f>
        <v>8</v>
      </c>
      <c r="P88" s="15" t="str">
        <f aca="false">IF(OR(G88="",J88=""),"",J88-G88)</f>
        <v/>
      </c>
    </row>
    <row r="89" customFormat="false" ht="15" hidden="false" customHeight="false" outlineLevel="0" collapsed="false">
      <c r="A89" s="13" t="s">
        <v>304</v>
      </c>
      <c r="B89" s="13" t="s">
        <v>239</v>
      </c>
      <c r="C89" s="13" t="s">
        <v>305</v>
      </c>
      <c r="D89" s="13" t="s">
        <v>38</v>
      </c>
      <c r="E89" s="13" t="s">
        <v>29</v>
      </c>
      <c r="F89" s="13" t="s">
        <v>57</v>
      </c>
      <c r="G89" s="14" t="n">
        <v>46186</v>
      </c>
      <c r="H89" s="14"/>
      <c r="I89" s="14"/>
      <c r="J89" s="14"/>
      <c r="K89" s="13" t="s">
        <v>15</v>
      </c>
      <c r="L89" s="13" t="s">
        <v>36</v>
      </c>
      <c r="M89" s="13"/>
      <c r="N89" s="15" t="n">
        <f aca="false">IFERROR(MATCH(K89,Lists!$A$2:$A$6,0),"")</f>
        <v>1</v>
      </c>
      <c r="O89" s="15" t="str">
        <f aca="false">IF(OR(G89="",H89=""),"",H89-G89)</f>
        <v/>
      </c>
      <c r="P89" s="15" t="str">
        <f aca="false">IF(OR(G89="",J89=""),"",J89-G89)</f>
        <v/>
      </c>
    </row>
    <row r="90" customFormat="false" ht="15" hidden="false" customHeight="false" outlineLevel="0" collapsed="false">
      <c r="A90" s="13" t="s">
        <v>306</v>
      </c>
      <c r="B90" s="13" t="s">
        <v>307</v>
      </c>
      <c r="C90" s="13" t="s">
        <v>308</v>
      </c>
      <c r="D90" s="13" t="s">
        <v>37</v>
      </c>
      <c r="E90" s="13" t="s">
        <v>28</v>
      </c>
      <c r="F90" s="13" t="s">
        <v>61</v>
      </c>
      <c r="G90" s="14" t="n">
        <v>46244</v>
      </c>
      <c r="H90" s="14"/>
      <c r="I90" s="14"/>
      <c r="J90" s="14"/>
      <c r="K90" s="13" t="s">
        <v>15</v>
      </c>
      <c r="L90" s="13" t="s">
        <v>34</v>
      </c>
      <c r="M90" s="13"/>
      <c r="N90" s="15" t="n">
        <f aca="false">IFERROR(MATCH(K90,Lists!$A$2:$A$6,0),"")</f>
        <v>1</v>
      </c>
      <c r="O90" s="15" t="str">
        <f aca="false">IF(OR(G90="",H90=""),"",H90-G90)</f>
        <v/>
      </c>
      <c r="P90" s="15" t="str">
        <f aca="false">IF(OR(G90="",J90=""),"",J90-G90)</f>
        <v/>
      </c>
    </row>
    <row r="91" customFormat="false" ht="15" hidden="false" customHeight="false" outlineLevel="0" collapsed="false">
      <c r="A91" s="13" t="s">
        <v>309</v>
      </c>
      <c r="B91" s="13" t="s">
        <v>310</v>
      </c>
      <c r="C91" s="13" t="s">
        <v>311</v>
      </c>
      <c r="D91" s="13" t="s">
        <v>39</v>
      </c>
      <c r="E91" s="13" t="s">
        <v>30</v>
      </c>
      <c r="F91" s="13" t="s">
        <v>57</v>
      </c>
      <c r="G91" s="14" t="n">
        <v>46203</v>
      </c>
      <c r="H91" s="14"/>
      <c r="I91" s="14"/>
      <c r="J91" s="14"/>
      <c r="K91" s="13" t="s">
        <v>15</v>
      </c>
      <c r="L91" s="13" t="s">
        <v>34</v>
      </c>
      <c r="M91" s="13"/>
      <c r="N91" s="15" t="n">
        <f aca="false">IFERROR(MATCH(K91,Lists!$A$2:$A$6,0),"")</f>
        <v>1</v>
      </c>
      <c r="O91" s="15" t="str">
        <f aca="false">IF(OR(G91="",H91=""),"",H91-G91)</f>
        <v/>
      </c>
      <c r="P91" s="15" t="str">
        <f aca="false">IF(OR(G91="",J91=""),"",J91-G91)</f>
        <v/>
      </c>
    </row>
    <row r="92" customFormat="false" ht="15" hidden="false" customHeight="false" outlineLevel="0" collapsed="false">
      <c r="A92" s="13" t="s">
        <v>312</v>
      </c>
      <c r="B92" s="13" t="s">
        <v>313</v>
      </c>
      <c r="C92" s="13" t="s">
        <v>314</v>
      </c>
      <c r="D92" s="13" t="s">
        <v>41</v>
      </c>
      <c r="E92" s="13" t="s">
        <v>29</v>
      </c>
      <c r="F92" s="13" t="s">
        <v>65</v>
      </c>
      <c r="G92" s="14" t="n">
        <v>46207</v>
      </c>
      <c r="H92" s="14"/>
      <c r="I92" s="14"/>
      <c r="J92" s="14"/>
      <c r="K92" s="13" t="s">
        <v>15</v>
      </c>
      <c r="L92" s="13" t="s">
        <v>35</v>
      </c>
      <c r="M92" s="13"/>
      <c r="N92" s="15" t="n">
        <f aca="false">IFERROR(MATCH(K92,Lists!$A$2:$A$6,0),"")</f>
        <v>1</v>
      </c>
      <c r="O92" s="15" t="str">
        <f aca="false">IF(OR(G92="",H92=""),"",H92-G92)</f>
        <v/>
      </c>
      <c r="P92" s="15" t="str">
        <f aca="false">IF(OR(G92="",J92=""),"",J92-G92)</f>
        <v/>
      </c>
    </row>
    <row r="93" customFormat="false" ht="15" hidden="false" customHeight="false" outlineLevel="0" collapsed="false">
      <c r="A93" s="13" t="s">
        <v>315</v>
      </c>
      <c r="B93" s="13" t="s">
        <v>316</v>
      </c>
      <c r="C93" s="13" t="s">
        <v>317</v>
      </c>
      <c r="D93" s="13" t="s">
        <v>37</v>
      </c>
      <c r="E93" s="13" t="s">
        <v>27</v>
      </c>
      <c r="F93" s="13" t="s">
        <v>57</v>
      </c>
      <c r="G93" s="14" t="n">
        <v>46193</v>
      </c>
      <c r="H93" s="14" t="n">
        <v>46198</v>
      </c>
      <c r="I93" s="14"/>
      <c r="J93" s="14"/>
      <c r="K93" s="13" t="s">
        <v>16</v>
      </c>
      <c r="L93" s="13" t="s">
        <v>35</v>
      </c>
      <c r="M93" s="13"/>
      <c r="N93" s="15" t="n">
        <f aca="false">IFERROR(MATCH(K93,Lists!$A$2:$A$6,0),"")</f>
        <v>2</v>
      </c>
      <c r="O93" s="15" t="n">
        <f aca="false">IF(OR(G93="",H93=""),"",H93-G93)</f>
        <v>5</v>
      </c>
      <c r="P93" s="15" t="str">
        <f aca="false">IF(OR(G93="",J93=""),"",J93-G93)</f>
        <v/>
      </c>
    </row>
    <row r="94" customFormat="false" ht="15" hidden="false" customHeight="false" outlineLevel="0" collapsed="false">
      <c r="A94" s="13" t="s">
        <v>318</v>
      </c>
      <c r="B94" s="13" t="s">
        <v>319</v>
      </c>
      <c r="C94" s="13" t="s">
        <v>320</v>
      </c>
      <c r="D94" s="13" t="s">
        <v>40</v>
      </c>
      <c r="E94" s="13" t="s">
        <v>31</v>
      </c>
      <c r="F94" s="13" t="s">
        <v>61</v>
      </c>
      <c r="G94" s="14" t="n">
        <v>46210</v>
      </c>
      <c r="H94" s="14" t="n">
        <v>46218</v>
      </c>
      <c r="I94" s="14" t="n">
        <v>46221</v>
      </c>
      <c r="J94" s="14" t="n">
        <v>46226</v>
      </c>
      <c r="K94" s="13" t="s">
        <v>18</v>
      </c>
      <c r="L94" s="13" t="s">
        <v>35</v>
      </c>
      <c r="M94" s="13"/>
      <c r="N94" s="15" t="n">
        <f aca="false">IFERROR(MATCH(K94,Lists!$A$2:$A$6,0),"")</f>
        <v>4</v>
      </c>
      <c r="O94" s="15" t="n">
        <f aca="false">IF(OR(G94="",H94=""),"",H94-G94)</f>
        <v>8</v>
      </c>
      <c r="P94" s="15" t="n">
        <f aca="false">IF(OR(G94="",J94=""),"",J94-G94)</f>
        <v>16</v>
      </c>
    </row>
    <row r="95" customFormat="false" ht="15" hidden="false" customHeight="false" outlineLevel="0" collapsed="false">
      <c r="A95" s="13" t="s">
        <v>321</v>
      </c>
      <c r="B95" s="13" t="s">
        <v>322</v>
      </c>
      <c r="C95" s="13" t="s">
        <v>323</v>
      </c>
      <c r="D95" s="13" t="s">
        <v>41</v>
      </c>
      <c r="E95" s="13" t="s">
        <v>27</v>
      </c>
      <c r="F95" s="13" t="s">
        <v>65</v>
      </c>
      <c r="G95" s="14" t="n">
        <v>46179</v>
      </c>
      <c r="H95" s="14" t="n">
        <v>46186</v>
      </c>
      <c r="I95" s="14"/>
      <c r="J95" s="14"/>
      <c r="K95" s="13" t="s">
        <v>16</v>
      </c>
      <c r="L95" s="13" t="s">
        <v>35</v>
      </c>
      <c r="M95" s="13"/>
      <c r="N95" s="15" t="n">
        <f aca="false">IFERROR(MATCH(K95,Lists!$A$2:$A$6,0),"")</f>
        <v>2</v>
      </c>
      <c r="O95" s="15" t="n">
        <f aca="false">IF(OR(G95="",H95=""),"",H95-G95)</f>
        <v>7</v>
      </c>
      <c r="P95" s="15" t="str">
        <f aca="false">IF(OR(G95="",J95=""),"",J95-G95)</f>
        <v/>
      </c>
    </row>
    <row r="96" customFormat="false" ht="15" hidden="false" customHeight="false" outlineLevel="0" collapsed="false">
      <c r="A96" s="13" t="s">
        <v>324</v>
      </c>
      <c r="B96" s="13" t="s">
        <v>325</v>
      </c>
      <c r="C96" s="13" t="s">
        <v>326</v>
      </c>
      <c r="D96" s="13" t="s">
        <v>38</v>
      </c>
      <c r="E96" s="13" t="s">
        <v>28</v>
      </c>
      <c r="F96" s="13" t="s">
        <v>61</v>
      </c>
      <c r="G96" s="14" t="n">
        <v>46247</v>
      </c>
      <c r="H96" s="14" t="n">
        <v>46248</v>
      </c>
      <c r="I96" s="14" t="n">
        <v>46254</v>
      </c>
      <c r="J96" s="14" t="n">
        <v>46260</v>
      </c>
      <c r="K96" s="13" t="s">
        <v>18</v>
      </c>
      <c r="L96" s="13" t="s">
        <v>34</v>
      </c>
      <c r="M96" s="13"/>
      <c r="N96" s="15" t="n">
        <f aca="false">IFERROR(MATCH(K96,Lists!$A$2:$A$6,0),"")</f>
        <v>4</v>
      </c>
      <c r="O96" s="15" t="n">
        <f aca="false">IF(OR(G96="",H96=""),"",H96-G96)</f>
        <v>1</v>
      </c>
      <c r="P96" s="15" t="n">
        <f aca="false">IF(OR(G96="",J96=""),"",J96-G96)</f>
        <v>13</v>
      </c>
    </row>
    <row r="97" customFormat="false" ht="15" hidden="false" customHeight="false" outlineLevel="0" collapsed="false">
      <c r="A97" s="13" t="s">
        <v>327</v>
      </c>
      <c r="B97" s="13" t="s">
        <v>219</v>
      </c>
      <c r="C97" s="13" t="s">
        <v>328</v>
      </c>
      <c r="D97" s="13" t="s">
        <v>40</v>
      </c>
      <c r="E97" s="13" t="s">
        <v>31</v>
      </c>
      <c r="F97" s="13" t="s">
        <v>57</v>
      </c>
      <c r="G97" s="14" t="n">
        <v>46248</v>
      </c>
      <c r="H97" s="14"/>
      <c r="I97" s="14"/>
      <c r="J97" s="14"/>
      <c r="K97" s="13" t="s">
        <v>15</v>
      </c>
      <c r="L97" s="13" t="s">
        <v>35</v>
      </c>
      <c r="M97" s="13"/>
      <c r="N97" s="15" t="n">
        <f aca="false">IFERROR(MATCH(K97,Lists!$A$2:$A$6,0),"")</f>
        <v>1</v>
      </c>
      <c r="O97" s="15" t="str">
        <f aca="false">IF(OR(G97="",H97=""),"",H97-G97)</f>
        <v/>
      </c>
      <c r="P97" s="15" t="str">
        <f aca="false">IF(OR(G97="",J97=""),"",J97-G97)</f>
        <v/>
      </c>
    </row>
    <row r="98" customFormat="false" ht="15" hidden="false" customHeight="false" outlineLevel="0" collapsed="false">
      <c r="A98" s="13" t="s">
        <v>329</v>
      </c>
      <c r="B98" s="13" t="s">
        <v>330</v>
      </c>
      <c r="C98" s="13" t="s">
        <v>331</v>
      </c>
      <c r="D98" s="13" t="s">
        <v>40</v>
      </c>
      <c r="E98" s="13" t="s">
        <v>27</v>
      </c>
      <c r="F98" s="13" t="s">
        <v>57</v>
      </c>
      <c r="G98" s="14" t="n">
        <v>46187</v>
      </c>
      <c r="H98" s="14" t="n">
        <v>46190</v>
      </c>
      <c r="I98" s="14"/>
      <c r="J98" s="14"/>
      <c r="K98" s="13" t="s">
        <v>16</v>
      </c>
      <c r="L98" s="13" t="s">
        <v>34</v>
      </c>
      <c r="M98" s="13"/>
      <c r="N98" s="15" t="n">
        <f aca="false">IFERROR(MATCH(K98,Lists!$A$2:$A$6,0),"")</f>
        <v>2</v>
      </c>
      <c r="O98" s="15" t="n">
        <f aca="false">IF(OR(G98="",H98=""),"",H98-G98)</f>
        <v>3</v>
      </c>
      <c r="P98" s="15" t="str">
        <f aca="false">IF(OR(G98="",J98=""),"",J98-G98)</f>
        <v/>
      </c>
    </row>
    <row r="99" customFormat="false" ht="15" hidden="false" customHeight="false" outlineLevel="0" collapsed="false">
      <c r="A99" s="13" t="s">
        <v>332</v>
      </c>
      <c r="B99" s="13" t="s">
        <v>273</v>
      </c>
      <c r="C99" s="13" t="s">
        <v>333</v>
      </c>
      <c r="D99" s="13" t="s">
        <v>40</v>
      </c>
      <c r="E99" s="13" t="s">
        <v>31</v>
      </c>
      <c r="F99" s="13" t="s">
        <v>65</v>
      </c>
      <c r="G99" s="14" t="n">
        <v>46214</v>
      </c>
      <c r="H99" s="14" t="n">
        <v>46219</v>
      </c>
      <c r="I99" s="14"/>
      <c r="J99" s="14"/>
      <c r="K99" s="13" t="s">
        <v>16</v>
      </c>
      <c r="L99" s="13" t="s">
        <v>34</v>
      </c>
      <c r="M99" s="13"/>
      <c r="N99" s="15" t="n">
        <f aca="false">IFERROR(MATCH(K99,Lists!$A$2:$A$6,0),"")</f>
        <v>2</v>
      </c>
      <c r="O99" s="15" t="n">
        <f aca="false">IF(OR(G99="",H99=""),"",H99-G99)</f>
        <v>5</v>
      </c>
      <c r="P99" s="15" t="str">
        <f aca="false">IF(OR(G99="",J99=""),"",J99-G99)</f>
        <v/>
      </c>
    </row>
    <row r="100" customFormat="false" ht="15" hidden="false" customHeight="false" outlineLevel="0" collapsed="false">
      <c r="A100" s="13" t="s">
        <v>334</v>
      </c>
      <c r="B100" s="13" t="s">
        <v>322</v>
      </c>
      <c r="C100" s="13" t="s">
        <v>335</v>
      </c>
      <c r="D100" s="13" t="s">
        <v>40</v>
      </c>
      <c r="E100" s="13" t="s">
        <v>29</v>
      </c>
      <c r="F100" s="13" t="s">
        <v>65</v>
      </c>
      <c r="G100" s="14" t="n">
        <v>46198</v>
      </c>
      <c r="H100" s="14" t="n">
        <v>46204</v>
      </c>
      <c r="I100" s="14"/>
      <c r="J100" s="14"/>
      <c r="K100" s="13" t="s">
        <v>16</v>
      </c>
      <c r="L100" s="13" t="s">
        <v>35</v>
      </c>
      <c r="M100" s="13"/>
      <c r="N100" s="15" t="n">
        <f aca="false">IFERROR(MATCH(K100,Lists!$A$2:$A$6,0),"")</f>
        <v>2</v>
      </c>
      <c r="O100" s="15" t="n">
        <f aca="false">IF(OR(G100="",H100=""),"",H100-G100)</f>
        <v>6</v>
      </c>
      <c r="P100" s="15" t="str">
        <f aca="false">IF(OR(G100="",J100=""),"",J100-G100)</f>
        <v/>
      </c>
    </row>
    <row r="101" customFormat="false" ht="15" hidden="false" customHeight="false" outlineLevel="0" collapsed="false">
      <c r="A101" s="13" t="s">
        <v>336</v>
      </c>
      <c r="B101" s="13" t="s">
        <v>337</v>
      </c>
      <c r="C101" s="13" t="s">
        <v>338</v>
      </c>
      <c r="D101" s="13" t="s">
        <v>40</v>
      </c>
      <c r="E101" s="13" t="s">
        <v>27</v>
      </c>
      <c r="F101" s="13" t="s">
        <v>61</v>
      </c>
      <c r="G101" s="14" t="n">
        <v>46210</v>
      </c>
      <c r="H101" s="14" t="n">
        <v>46218</v>
      </c>
      <c r="I101" s="14"/>
      <c r="J101" s="14"/>
      <c r="K101" s="13" t="s">
        <v>16</v>
      </c>
      <c r="L101" s="13" t="s">
        <v>35</v>
      </c>
      <c r="M101" s="13"/>
      <c r="N101" s="15" t="n">
        <f aca="false">IFERROR(MATCH(K101,Lists!$A$2:$A$6,0),"")</f>
        <v>2</v>
      </c>
      <c r="O101" s="15" t="n">
        <f aca="false">IF(OR(G101="",H101=""),"",H101-G101)</f>
        <v>8</v>
      </c>
      <c r="P101" s="15" t="str">
        <f aca="false">IF(OR(G101="",J101=""),"",J101-G101)</f>
        <v/>
      </c>
    </row>
    <row r="102" customFormat="false" ht="15" hidden="false" customHeight="false" outlineLevel="0" collapsed="false">
      <c r="A102" s="13" t="s">
        <v>339</v>
      </c>
      <c r="B102" s="13" t="s">
        <v>340</v>
      </c>
      <c r="C102" s="13" t="s">
        <v>341</v>
      </c>
      <c r="D102" s="13" t="s">
        <v>37</v>
      </c>
      <c r="E102" s="13" t="s">
        <v>29</v>
      </c>
      <c r="F102" s="13" t="s">
        <v>65</v>
      </c>
      <c r="G102" s="14" t="n">
        <v>46194</v>
      </c>
      <c r="H102" s="14"/>
      <c r="I102" s="14"/>
      <c r="J102" s="14"/>
      <c r="K102" s="13" t="s">
        <v>15</v>
      </c>
      <c r="L102" s="13" t="s">
        <v>34</v>
      </c>
      <c r="M102" s="13"/>
      <c r="N102" s="15" t="n">
        <f aca="false">IFERROR(MATCH(K102,Lists!$A$2:$A$6,0),"")</f>
        <v>1</v>
      </c>
      <c r="O102" s="15" t="str">
        <f aca="false">IF(OR(G102="",H102=""),"",H102-G102)</f>
        <v/>
      </c>
      <c r="P102" s="15" t="str">
        <f aca="false">IF(OR(G102="",J102=""),"",J102-G102)</f>
        <v/>
      </c>
    </row>
    <row r="103" customFormat="false" ht="15" hidden="false" customHeight="false" outlineLevel="0" collapsed="false">
      <c r="A103" s="13" t="s">
        <v>342</v>
      </c>
      <c r="B103" s="13" t="s">
        <v>132</v>
      </c>
      <c r="C103" s="13" t="s">
        <v>343</v>
      </c>
      <c r="D103" s="13" t="s">
        <v>39</v>
      </c>
      <c r="E103" s="13" t="s">
        <v>28</v>
      </c>
      <c r="F103" s="13" t="s">
        <v>57</v>
      </c>
      <c r="G103" s="14" t="n">
        <v>46233</v>
      </c>
      <c r="H103" s="14" t="n">
        <v>46235</v>
      </c>
      <c r="I103" s="14" t="n">
        <v>46239</v>
      </c>
      <c r="J103" s="14" t="n">
        <v>46244</v>
      </c>
      <c r="K103" s="13" t="s">
        <v>18</v>
      </c>
      <c r="L103" s="13" t="s">
        <v>36</v>
      </c>
      <c r="M103" s="13"/>
      <c r="N103" s="15" t="n">
        <f aca="false">IFERROR(MATCH(K103,Lists!$A$2:$A$6,0),"")</f>
        <v>4</v>
      </c>
      <c r="O103" s="15" t="n">
        <f aca="false">IF(OR(G103="",H103=""),"",H103-G103)</f>
        <v>2</v>
      </c>
      <c r="P103" s="15" t="n">
        <f aca="false">IF(OR(G103="",J103=""),"",J103-G103)</f>
        <v>11</v>
      </c>
    </row>
    <row r="104" customFormat="false" ht="15" hidden="false" customHeight="false" outlineLevel="0" collapsed="false">
      <c r="A104" s="13" t="s">
        <v>344</v>
      </c>
      <c r="B104" s="13" t="s">
        <v>345</v>
      </c>
      <c r="C104" s="13" t="s">
        <v>346</v>
      </c>
      <c r="D104" s="13" t="s">
        <v>38</v>
      </c>
      <c r="E104" s="13" t="s">
        <v>28</v>
      </c>
      <c r="F104" s="13" t="s">
        <v>61</v>
      </c>
      <c r="G104" s="14" t="n">
        <v>46234</v>
      </c>
      <c r="H104" s="14" t="n">
        <v>46238</v>
      </c>
      <c r="I104" s="14"/>
      <c r="J104" s="14"/>
      <c r="K104" s="13" t="s">
        <v>16</v>
      </c>
      <c r="L104" s="13" t="s">
        <v>35</v>
      </c>
      <c r="M104" s="13"/>
      <c r="N104" s="15" t="n">
        <f aca="false">IFERROR(MATCH(K104,Lists!$A$2:$A$6,0),"")</f>
        <v>2</v>
      </c>
      <c r="O104" s="15" t="n">
        <f aca="false">IF(OR(G104="",H104=""),"",H104-G104)</f>
        <v>4</v>
      </c>
      <c r="P104" s="15" t="str">
        <f aca="false">IF(OR(G104="",J104=""),"",J104-G104)</f>
        <v/>
      </c>
    </row>
    <row r="105" customFormat="false" ht="15" hidden="false" customHeight="false" outlineLevel="0" collapsed="false">
      <c r="A105" s="13" t="s">
        <v>347</v>
      </c>
      <c r="B105" s="13" t="s">
        <v>348</v>
      </c>
      <c r="C105" s="13" t="s">
        <v>349</v>
      </c>
      <c r="D105" s="13" t="s">
        <v>41</v>
      </c>
      <c r="E105" s="13" t="s">
        <v>27</v>
      </c>
      <c r="F105" s="13" t="s">
        <v>65</v>
      </c>
      <c r="G105" s="14" t="n">
        <v>46182</v>
      </c>
      <c r="H105" s="14" t="n">
        <v>46187</v>
      </c>
      <c r="I105" s="14" t="n">
        <v>46195</v>
      </c>
      <c r="J105" s="14" t="n">
        <v>46199</v>
      </c>
      <c r="K105" s="13" t="s">
        <v>18</v>
      </c>
      <c r="L105" s="13" t="s">
        <v>36</v>
      </c>
      <c r="M105" s="13"/>
      <c r="N105" s="15" t="n">
        <f aca="false">IFERROR(MATCH(K105,Lists!$A$2:$A$6,0),"")</f>
        <v>4</v>
      </c>
      <c r="O105" s="15" t="n">
        <f aca="false">IF(OR(G105="",H105=""),"",H105-G105)</f>
        <v>5</v>
      </c>
      <c r="P105" s="15" t="n">
        <f aca="false">IF(OR(G105="",J105=""),"",J105-G105)</f>
        <v>17</v>
      </c>
    </row>
    <row r="106" customFormat="false" ht="15" hidden="false" customHeight="false" outlineLevel="0" collapsed="false">
      <c r="A106" s="13" t="s">
        <v>350</v>
      </c>
      <c r="B106" s="13" t="s">
        <v>351</v>
      </c>
      <c r="C106" s="13" t="s">
        <v>352</v>
      </c>
      <c r="D106" s="13" t="s">
        <v>40</v>
      </c>
      <c r="E106" s="13" t="s">
        <v>31</v>
      </c>
      <c r="F106" s="13" t="s">
        <v>57</v>
      </c>
      <c r="G106" s="14" t="n">
        <v>46249</v>
      </c>
      <c r="H106" s="14"/>
      <c r="I106" s="14"/>
      <c r="J106" s="14"/>
      <c r="K106" s="13" t="s">
        <v>15</v>
      </c>
      <c r="L106" s="13" t="s">
        <v>35</v>
      </c>
      <c r="M106" s="13"/>
      <c r="N106" s="15" t="n">
        <f aca="false">IFERROR(MATCH(K106,Lists!$A$2:$A$6,0),"")</f>
        <v>1</v>
      </c>
      <c r="O106" s="15" t="str">
        <f aca="false">IF(OR(G106="",H106=""),"",H106-G106)</f>
        <v/>
      </c>
      <c r="P106" s="15" t="str">
        <f aca="false">IF(OR(G106="",J106=""),"",J106-G106)</f>
        <v/>
      </c>
    </row>
    <row r="107" customFormat="false" ht="15" hidden="false" customHeight="false" outlineLevel="0" collapsed="false">
      <c r="A107" s="13" t="s">
        <v>353</v>
      </c>
      <c r="B107" s="13" t="s">
        <v>322</v>
      </c>
      <c r="C107" s="13" t="s">
        <v>354</v>
      </c>
      <c r="D107" s="13" t="s">
        <v>39</v>
      </c>
      <c r="E107" s="13" t="s">
        <v>31</v>
      </c>
      <c r="F107" s="13" t="s">
        <v>61</v>
      </c>
      <c r="G107" s="14" t="n">
        <v>46244</v>
      </c>
      <c r="H107" s="14" t="n">
        <v>46251</v>
      </c>
      <c r="I107" s="14"/>
      <c r="J107" s="14"/>
      <c r="K107" s="13" t="s">
        <v>16</v>
      </c>
      <c r="L107" s="13" t="s">
        <v>35</v>
      </c>
      <c r="M107" s="13"/>
      <c r="N107" s="15" t="n">
        <f aca="false">IFERROR(MATCH(K107,Lists!$A$2:$A$6,0),"")</f>
        <v>2</v>
      </c>
      <c r="O107" s="15" t="n">
        <f aca="false">IF(OR(G107="",H107=""),"",H107-G107)</f>
        <v>7</v>
      </c>
      <c r="P107" s="15" t="str">
        <f aca="false">IF(OR(G107="",J107=""),"",J107-G107)</f>
        <v/>
      </c>
    </row>
    <row r="108" customFormat="false" ht="15" hidden="false" customHeight="false" outlineLevel="0" collapsed="false">
      <c r="A108" s="13" t="s">
        <v>355</v>
      </c>
      <c r="B108" s="13" t="s">
        <v>356</v>
      </c>
      <c r="C108" s="13" t="s">
        <v>357</v>
      </c>
      <c r="D108" s="13" t="s">
        <v>40</v>
      </c>
      <c r="E108" s="13" t="s">
        <v>30</v>
      </c>
      <c r="F108" s="13" t="s">
        <v>57</v>
      </c>
      <c r="G108" s="14" t="n">
        <v>46226</v>
      </c>
      <c r="H108" s="14" t="n">
        <v>46227</v>
      </c>
      <c r="I108" s="14"/>
      <c r="J108" s="14"/>
      <c r="K108" s="13" t="s">
        <v>16</v>
      </c>
      <c r="L108" s="13" t="s">
        <v>34</v>
      </c>
      <c r="M108" s="13"/>
      <c r="N108" s="15" t="n">
        <f aca="false">IFERROR(MATCH(K108,Lists!$A$2:$A$6,0),"")</f>
        <v>2</v>
      </c>
      <c r="O108" s="15" t="n">
        <f aca="false">IF(OR(G108="",H108=""),"",H108-G108)</f>
        <v>1</v>
      </c>
      <c r="P108" s="15" t="str">
        <f aca="false">IF(OR(G108="",J108=""),"",J108-G108)</f>
        <v/>
      </c>
    </row>
    <row r="109" customFormat="false" ht="15" hidden="false" customHeight="false" outlineLevel="0" collapsed="false">
      <c r="A109" s="13" t="s">
        <v>358</v>
      </c>
      <c r="B109" s="13" t="s">
        <v>359</v>
      </c>
      <c r="C109" s="13" t="s">
        <v>360</v>
      </c>
      <c r="D109" s="13" t="s">
        <v>41</v>
      </c>
      <c r="E109" s="13" t="s">
        <v>28</v>
      </c>
      <c r="F109" s="13" t="s">
        <v>65</v>
      </c>
      <c r="G109" s="14" t="n">
        <v>46193</v>
      </c>
      <c r="H109" s="14" t="n">
        <v>46201</v>
      </c>
      <c r="I109" s="14" t="n">
        <v>46203</v>
      </c>
      <c r="J109" s="14"/>
      <c r="K109" s="13" t="s">
        <v>17</v>
      </c>
      <c r="L109" s="13" t="s">
        <v>34</v>
      </c>
      <c r="M109" s="13"/>
      <c r="N109" s="15" t="n">
        <f aca="false">IFERROR(MATCH(K109,Lists!$A$2:$A$6,0),"")</f>
        <v>3</v>
      </c>
      <c r="O109" s="15" t="n">
        <f aca="false">IF(OR(G109="",H109=""),"",H109-G109)</f>
        <v>8</v>
      </c>
      <c r="P109" s="15" t="str">
        <f aca="false">IF(OR(G109="",J109=""),"",J109-G109)</f>
        <v/>
      </c>
    </row>
    <row r="110" customFormat="false" ht="15" hidden="false" customHeight="false" outlineLevel="0" collapsed="false">
      <c r="A110" s="13" t="s">
        <v>361</v>
      </c>
      <c r="B110" s="13" t="s">
        <v>362</v>
      </c>
      <c r="C110" s="13" t="s">
        <v>363</v>
      </c>
      <c r="D110" s="13" t="s">
        <v>40</v>
      </c>
      <c r="E110" s="13" t="s">
        <v>31</v>
      </c>
      <c r="F110" s="13" t="s">
        <v>65</v>
      </c>
      <c r="G110" s="14" t="n">
        <v>46232</v>
      </c>
      <c r="H110" s="14" t="n">
        <v>46233</v>
      </c>
      <c r="I110" s="14"/>
      <c r="J110" s="14"/>
      <c r="K110" s="13" t="s">
        <v>16</v>
      </c>
      <c r="L110" s="13" t="s">
        <v>35</v>
      </c>
      <c r="M110" s="13"/>
      <c r="N110" s="15" t="n">
        <f aca="false">IFERROR(MATCH(K110,Lists!$A$2:$A$6,0),"")</f>
        <v>2</v>
      </c>
      <c r="O110" s="15" t="n">
        <f aca="false">IF(OR(G110="",H110=""),"",H110-G110)</f>
        <v>1</v>
      </c>
      <c r="P110" s="15" t="str">
        <f aca="false">IF(OR(G110="",J110=""),"",J110-G110)</f>
        <v/>
      </c>
    </row>
    <row r="111" customFormat="false" ht="15" hidden="false" customHeight="false" outlineLevel="0" collapsed="false">
      <c r="A111" s="13" t="s">
        <v>364</v>
      </c>
      <c r="B111" s="13" t="s">
        <v>365</v>
      </c>
      <c r="C111" s="13" t="s">
        <v>366</v>
      </c>
      <c r="D111" s="13" t="s">
        <v>39</v>
      </c>
      <c r="E111" s="13" t="s">
        <v>31</v>
      </c>
      <c r="F111" s="13" t="s">
        <v>61</v>
      </c>
      <c r="G111" s="14" t="n">
        <v>46207</v>
      </c>
      <c r="H111" s="14" t="n">
        <v>46213</v>
      </c>
      <c r="I111" s="14" t="n">
        <v>46221</v>
      </c>
      <c r="J111" s="14"/>
      <c r="K111" s="13" t="s">
        <v>17</v>
      </c>
      <c r="L111" s="13" t="s">
        <v>35</v>
      </c>
      <c r="M111" s="13"/>
      <c r="N111" s="15" t="n">
        <f aca="false">IFERROR(MATCH(K111,Lists!$A$2:$A$6,0),"")</f>
        <v>3</v>
      </c>
      <c r="O111" s="15" t="n">
        <f aca="false">IF(OR(G111="",H111=""),"",H111-G111)</f>
        <v>6</v>
      </c>
      <c r="P111" s="15" t="str">
        <f aca="false">IF(OR(G111="",J111=""),"",J111-G111)</f>
        <v/>
      </c>
    </row>
    <row r="112" customFormat="false" ht="15" hidden="false" customHeight="false" outlineLevel="0" collapsed="false">
      <c r="A112" s="13" t="s">
        <v>367</v>
      </c>
      <c r="B112" s="13" t="s">
        <v>368</v>
      </c>
      <c r="C112" s="13" t="s">
        <v>369</v>
      </c>
      <c r="D112" s="13" t="s">
        <v>39</v>
      </c>
      <c r="E112" s="13" t="s">
        <v>31</v>
      </c>
      <c r="F112" s="13" t="s">
        <v>61</v>
      </c>
      <c r="G112" s="14" t="n">
        <v>46236</v>
      </c>
      <c r="H112" s="14" t="n">
        <v>46237</v>
      </c>
      <c r="I112" s="14" t="n">
        <v>46240</v>
      </c>
      <c r="J112" s="14"/>
      <c r="K112" s="13" t="s">
        <v>17</v>
      </c>
      <c r="L112" s="13" t="s">
        <v>34</v>
      </c>
      <c r="M112" s="13"/>
      <c r="N112" s="15" t="n">
        <f aca="false">IFERROR(MATCH(K112,Lists!$A$2:$A$6,0),"")</f>
        <v>3</v>
      </c>
      <c r="O112" s="15" t="n">
        <f aca="false">IF(OR(G112="",H112=""),"",H112-G112)</f>
        <v>1</v>
      </c>
      <c r="P112" s="15" t="str">
        <f aca="false">IF(OR(G112="",J112=""),"",J112-G112)</f>
        <v/>
      </c>
    </row>
    <row r="113" customFormat="false" ht="15" hidden="false" customHeight="false" outlineLevel="0" collapsed="false">
      <c r="A113" s="13" t="s">
        <v>370</v>
      </c>
      <c r="B113" s="13" t="s">
        <v>371</v>
      </c>
      <c r="C113" s="13" t="s">
        <v>372</v>
      </c>
      <c r="D113" s="13" t="s">
        <v>39</v>
      </c>
      <c r="E113" s="13" t="s">
        <v>31</v>
      </c>
      <c r="F113" s="13" t="s">
        <v>65</v>
      </c>
      <c r="G113" s="14" t="n">
        <v>46186</v>
      </c>
      <c r="H113" s="14" t="n">
        <v>46194</v>
      </c>
      <c r="I113" s="14" t="n">
        <v>46198</v>
      </c>
      <c r="J113" s="14" t="n">
        <v>46205</v>
      </c>
      <c r="K113" s="13" t="s">
        <v>19</v>
      </c>
      <c r="L113" s="13" t="s">
        <v>19</v>
      </c>
      <c r="M113" s="13"/>
      <c r="N113" s="15" t="n">
        <f aca="false">IFERROR(MATCH(K113,Lists!$A$2:$A$6,0),"")</f>
        <v>5</v>
      </c>
      <c r="O113" s="15" t="n">
        <f aca="false">IF(OR(G113="",H113=""),"",H113-G113)</f>
        <v>8</v>
      </c>
      <c r="P113" s="15" t="n">
        <f aca="false">IF(OR(G113="",J113=""),"",J113-G113)</f>
        <v>19</v>
      </c>
    </row>
    <row r="114" customFormat="false" ht="15" hidden="false" customHeight="false" outlineLevel="0" collapsed="false">
      <c r="A114" s="13" t="s">
        <v>373</v>
      </c>
      <c r="B114" s="13" t="s">
        <v>129</v>
      </c>
      <c r="C114" s="13" t="s">
        <v>374</v>
      </c>
      <c r="D114" s="13" t="s">
        <v>38</v>
      </c>
      <c r="E114" s="13" t="s">
        <v>27</v>
      </c>
      <c r="F114" s="13" t="s">
        <v>57</v>
      </c>
      <c r="G114" s="14" t="n">
        <v>46219</v>
      </c>
      <c r="H114" s="14"/>
      <c r="I114" s="14"/>
      <c r="J114" s="14"/>
      <c r="K114" s="13" t="s">
        <v>15</v>
      </c>
      <c r="L114" s="13" t="s">
        <v>35</v>
      </c>
      <c r="M114" s="13"/>
      <c r="N114" s="15" t="n">
        <f aca="false">IFERROR(MATCH(K114,Lists!$A$2:$A$6,0),"")</f>
        <v>1</v>
      </c>
      <c r="O114" s="15" t="str">
        <f aca="false">IF(OR(G114="",H114=""),"",H114-G114)</f>
        <v/>
      </c>
      <c r="P114" s="15" t="str">
        <f aca="false">IF(OR(G114="",J114=""),"",J114-G114)</f>
        <v/>
      </c>
    </row>
    <row r="115" customFormat="false" ht="15" hidden="false" customHeight="false" outlineLevel="0" collapsed="false">
      <c r="A115" s="13" t="s">
        <v>375</v>
      </c>
      <c r="B115" s="13" t="s">
        <v>376</v>
      </c>
      <c r="C115" s="13" t="s">
        <v>377</v>
      </c>
      <c r="D115" s="13" t="s">
        <v>40</v>
      </c>
      <c r="E115" s="13" t="s">
        <v>29</v>
      </c>
      <c r="F115" s="13" t="s">
        <v>65</v>
      </c>
      <c r="G115" s="14" t="n">
        <v>46195</v>
      </c>
      <c r="H115" s="14" t="n">
        <v>46198</v>
      </c>
      <c r="I115" s="14" t="n">
        <v>46201</v>
      </c>
      <c r="J115" s="14"/>
      <c r="K115" s="13" t="s">
        <v>17</v>
      </c>
      <c r="L115" s="13" t="s">
        <v>35</v>
      </c>
      <c r="M115" s="13"/>
      <c r="N115" s="15" t="n">
        <f aca="false">IFERROR(MATCH(K115,Lists!$A$2:$A$6,0),"")</f>
        <v>3</v>
      </c>
      <c r="O115" s="15" t="n">
        <f aca="false">IF(OR(G115="",H115=""),"",H115-G115)</f>
        <v>3</v>
      </c>
      <c r="P115" s="15" t="str">
        <f aca="false">IF(OR(G115="",J115=""),"",J115-G115)</f>
        <v/>
      </c>
    </row>
    <row r="116" customFormat="false" ht="15" hidden="false" customHeight="false" outlineLevel="0" collapsed="false">
      <c r="A116" s="13" t="s">
        <v>378</v>
      </c>
      <c r="B116" s="13" t="s">
        <v>379</v>
      </c>
      <c r="C116" s="13" t="s">
        <v>380</v>
      </c>
      <c r="D116" s="13" t="s">
        <v>40</v>
      </c>
      <c r="E116" s="13" t="s">
        <v>27</v>
      </c>
      <c r="F116" s="13" t="s">
        <v>65</v>
      </c>
      <c r="G116" s="14" t="n">
        <v>46203</v>
      </c>
      <c r="H116" s="14" t="n">
        <v>46211</v>
      </c>
      <c r="I116" s="14"/>
      <c r="J116" s="14"/>
      <c r="K116" s="13" t="s">
        <v>16</v>
      </c>
      <c r="L116" s="13" t="s">
        <v>35</v>
      </c>
      <c r="M116" s="13"/>
      <c r="N116" s="15" t="n">
        <f aca="false">IFERROR(MATCH(K116,Lists!$A$2:$A$6,0),"")</f>
        <v>2</v>
      </c>
      <c r="O116" s="15" t="n">
        <f aca="false">IF(OR(G116="",H116=""),"",H116-G116)</f>
        <v>8</v>
      </c>
      <c r="P116" s="15" t="str">
        <f aca="false">IF(OR(G116="",J116=""),"",J116-G116)</f>
        <v/>
      </c>
    </row>
    <row r="117" customFormat="false" ht="15" hidden="false" customHeight="false" outlineLevel="0" collapsed="false">
      <c r="A117" s="13" t="s">
        <v>381</v>
      </c>
      <c r="B117" s="13" t="s">
        <v>219</v>
      </c>
      <c r="C117" s="13" t="s">
        <v>382</v>
      </c>
      <c r="D117" s="13" t="s">
        <v>40</v>
      </c>
      <c r="E117" s="13" t="s">
        <v>31</v>
      </c>
      <c r="F117" s="13" t="s">
        <v>61</v>
      </c>
      <c r="G117" s="14" t="n">
        <v>46243</v>
      </c>
      <c r="H117" s="14"/>
      <c r="I117" s="14"/>
      <c r="J117" s="14"/>
      <c r="K117" s="13" t="s">
        <v>15</v>
      </c>
      <c r="L117" s="13" t="s">
        <v>34</v>
      </c>
      <c r="M117" s="13"/>
      <c r="N117" s="15" t="n">
        <f aca="false">IFERROR(MATCH(K117,Lists!$A$2:$A$6,0),"")</f>
        <v>1</v>
      </c>
      <c r="O117" s="15" t="str">
        <f aca="false">IF(OR(G117="",H117=""),"",H117-G117)</f>
        <v/>
      </c>
      <c r="P117" s="15" t="str">
        <f aca="false">IF(OR(G117="",J117=""),"",J117-G117)</f>
        <v/>
      </c>
    </row>
    <row r="118" customFormat="false" ht="15" hidden="false" customHeight="false" outlineLevel="0" collapsed="false">
      <c r="A118" s="13" t="s">
        <v>383</v>
      </c>
      <c r="B118" s="13" t="s">
        <v>384</v>
      </c>
      <c r="C118" s="13" t="s">
        <v>385</v>
      </c>
      <c r="D118" s="13" t="s">
        <v>40</v>
      </c>
      <c r="E118" s="13" t="s">
        <v>31</v>
      </c>
      <c r="F118" s="13" t="s">
        <v>65</v>
      </c>
      <c r="G118" s="14" t="n">
        <v>46206</v>
      </c>
      <c r="H118" s="14" t="n">
        <v>46214</v>
      </c>
      <c r="I118" s="14" t="n">
        <v>46220</v>
      </c>
      <c r="J118" s="14" t="n">
        <v>46223</v>
      </c>
      <c r="K118" s="13" t="s">
        <v>19</v>
      </c>
      <c r="L118" s="13" t="s">
        <v>19</v>
      </c>
      <c r="M118" s="13"/>
      <c r="N118" s="15" t="n">
        <f aca="false">IFERROR(MATCH(K118,Lists!$A$2:$A$6,0),"")</f>
        <v>5</v>
      </c>
      <c r="O118" s="15" t="n">
        <f aca="false">IF(OR(G118="",H118=""),"",H118-G118)</f>
        <v>8</v>
      </c>
      <c r="P118" s="15" t="n">
        <f aca="false">IF(OR(G118="",J118=""),"",J118-G118)</f>
        <v>17</v>
      </c>
    </row>
    <row r="119" customFormat="false" ht="15" hidden="false" customHeight="false" outlineLevel="0" collapsed="false">
      <c r="A119" s="13" t="s">
        <v>386</v>
      </c>
      <c r="B119" s="13" t="s">
        <v>387</v>
      </c>
      <c r="C119" s="13" t="s">
        <v>388</v>
      </c>
      <c r="D119" s="13" t="s">
        <v>39</v>
      </c>
      <c r="E119" s="13" t="s">
        <v>27</v>
      </c>
      <c r="F119" s="13" t="s">
        <v>61</v>
      </c>
      <c r="G119" s="14" t="n">
        <v>46247</v>
      </c>
      <c r="H119" s="14" t="n">
        <v>46252</v>
      </c>
      <c r="I119" s="14"/>
      <c r="J119" s="14"/>
      <c r="K119" s="13" t="s">
        <v>16</v>
      </c>
      <c r="L119" s="13" t="s">
        <v>36</v>
      </c>
      <c r="M119" s="13"/>
      <c r="N119" s="15" t="n">
        <f aca="false">IFERROR(MATCH(K119,Lists!$A$2:$A$6,0),"")</f>
        <v>2</v>
      </c>
      <c r="O119" s="15" t="n">
        <f aca="false">IF(OR(G119="",H119=""),"",H119-G119)</f>
        <v>5</v>
      </c>
      <c r="P119" s="15" t="str">
        <f aca="false">IF(OR(G119="",J119=""),"",J119-G119)</f>
        <v/>
      </c>
    </row>
    <row r="120" customFormat="false" ht="15" hidden="false" customHeight="false" outlineLevel="0" collapsed="false">
      <c r="A120" s="13" t="s">
        <v>389</v>
      </c>
      <c r="B120" s="13" t="s">
        <v>138</v>
      </c>
      <c r="C120" s="13" t="s">
        <v>390</v>
      </c>
      <c r="D120" s="13" t="s">
        <v>40</v>
      </c>
      <c r="E120" s="13" t="s">
        <v>30</v>
      </c>
      <c r="F120" s="13" t="s">
        <v>57</v>
      </c>
      <c r="G120" s="14" t="n">
        <v>46180</v>
      </c>
      <c r="H120" s="14"/>
      <c r="I120" s="14"/>
      <c r="J120" s="14"/>
      <c r="K120" s="13" t="s">
        <v>15</v>
      </c>
      <c r="L120" s="13" t="s">
        <v>36</v>
      </c>
      <c r="M120" s="13"/>
      <c r="N120" s="15" t="n">
        <f aca="false">IFERROR(MATCH(K120,Lists!$A$2:$A$6,0),"")</f>
        <v>1</v>
      </c>
      <c r="O120" s="15" t="str">
        <f aca="false">IF(OR(G120="",H120=""),"",H120-G120)</f>
        <v/>
      </c>
      <c r="P120" s="15" t="str">
        <f aca="false">IF(OR(G120="",J120=""),"",J120-G120)</f>
        <v/>
      </c>
    </row>
    <row r="121" customFormat="false" ht="15" hidden="false" customHeight="false" outlineLevel="0" collapsed="false">
      <c r="A121" s="13" t="s">
        <v>391</v>
      </c>
      <c r="B121" s="13" t="s">
        <v>356</v>
      </c>
      <c r="C121" s="13" t="s">
        <v>392</v>
      </c>
      <c r="D121" s="13" t="s">
        <v>38</v>
      </c>
      <c r="E121" s="13" t="s">
        <v>29</v>
      </c>
      <c r="F121" s="13" t="s">
        <v>61</v>
      </c>
      <c r="G121" s="14" t="n">
        <v>46202</v>
      </c>
      <c r="H121" s="14" t="n">
        <v>46206</v>
      </c>
      <c r="I121" s="14" t="n">
        <v>46212</v>
      </c>
      <c r="J121" s="14"/>
      <c r="K121" s="13" t="s">
        <v>17</v>
      </c>
      <c r="L121" s="13" t="s">
        <v>35</v>
      </c>
      <c r="M121" s="13"/>
      <c r="N121" s="15" t="n">
        <f aca="false">IFERROR(MATCH(K121,Lists!$A$2:$A$6,0),"")</f>
        <v>3</v>
      </c>
      <c r="O121" s="15" t="n">
        <f aca="false">IF(OR(G121="",H121=""),"",H121-G121)</f>
        <v>4</v>
      </c>
      <c r="P121" s="15" t="str">
        <f aca="false">IF(OR(G121="",J121=""),"",J121-G121)</f>
        <v/>
      </c>
    </row>
    <row r="122" customFormat="false" ht="15" hidden="false" customHeight="false" outlineLevel="0" collapsed="false">
      <c r="N122" s="15" t="str">
        <f aca="false">IFERROR(MATCH(K122,Lists!$A$2:$A$6,0),"")</f>
        <v/>
      </c>
      <c r="O122" s="15" t="str">
        <f aca="false">IF(OR(G122="",H122=""),"",H122-G122)</f>
        <v/>
      </c>
      <c r="P122" s="15" t="str">
        <f aca="false">IF(OR(G122="",J122=""),"",J122-G122)</f>
        <v/>
      </c>
    </row>
    <row r="123" customFormat="false" ht="15" hidden="false" customHeight="false" outlineLevel="0" collapsed="false">
      <c r="N123" s="15" t="str">
        <f aca="false">IFERROR(MATCH(K123,Lists!$A$2:$A$6,0),"")</f>
        <v/>
      </c>
      <c r="O123" s="15" t="str">
        <f aca="false">IF(OR(G123="",H123=""),"",H123-G123)</f>
        <v/>
      </c>
      <c r="P123" s="15" t="str">
        <f aca="false">IF(OR(G123="",J123=""),"",J123-G123)</f>
        <v/>
      </c>
    </row>
    <row r="124" customFormat="false" ht="15" hidden="false" customHeight="false" outlineLevel="0" collapsed="false">
      <c r="N124" s="15" t="str">
        <f aca="false">IFERROR(MATCH(K124,Lists!$A$2:$A$6,0),"")</f>
        <v/>
      </c>
      <c r="O124" s="15" t="str">
        <f aca="false">IF(OR(G124="",H124=""),"",H124-G124)</f>
        <v/>
      </c>
      <c r="P124" s="15" t="str">
        <f aca="false">IF(OR(G124="",J124=""),"",J124-G124)</f>
        <v/>
      </c>
    </row>
    <row r="125" customFormat="false" ht="15" hidden="false" customHeight="false" outlineLevel="0" collapsed="false">
      <c r="N125" s="15" t="str">
        <f aca="false">IFERROR(MATCH(K125,Lists!$A$2:$A$6,0),"")</f>
        <v/>
      </c>
      <c r="O125" s="15" t="str">
        <f aca="false">IF(OR(G125="",H125=""),"",H125-G125)</f>
        <v/>
      </c>
      <c r="P125" s="15" t="str">
        <f aca="false">IF(OR(G125="",J125=""),"",J125-G125)</f>
        <v/>
      </c>
    </row>
    <row r="126" customFormat="false" ht="15" hidden="false" customHeight="false" outlineLevel="0" collapsed="false">
      <c r="N126" s="15" t="str">
        <f aca="false">IFERROR(MATCH(K126,Lists!$A$2:$A$6,0),"")</f>
        <v/>
      </c>
      <c r="O126" s="15" t="str">
        <f aca="false">IF(OR(G126="",H126=""),"",H126-G126)</f>
        <v/>
      </c>
      <c r="P126" s="15" t="str">
        <f aca="false">IF(OR(G126="",J126=""),"",J126-G126)</f>
        <v/>
      </c>
    </row>
    <row r="127" customFormat="false" ht="15" hidden="false" customHeight="false" outlineLevel="0" collapsed="false">
      <c r="N127" s="15" t="str">
        <f aca="false">IFERROR(MATCH(K127,Lists!$A$2:$A$6,0),"")</f>
        <v/>
      </c>
      <c r="O127" s="15" t="str">
        <f aca="false">IF(OR(G127="",H127=""),"",H127-G127)</f>
        <v/>
      </c>
      <c r="P127" s="15" t="str">
        <f aca="false">IF(OR(G127="",J127=""),"",J127-G127)</f>
        <v/>
      </c>
    </row>
    <row r="128" customFormat="false" ht="15" hidden="false" customHeight="false" outlineLevel="0" collapsed="false">
      <c r="N128" s="15" t="str">
        <f aca="false">IFERROR(MATCH(K128,Lists!$A$2:$A$6,0),"")</f>
        <v/>
      </c>
      <c r="O128" s="15" t="str">
        <f aca="false">IF(OR(G128="",H128=""),"",H128-G128)</f>
        <v/>
      </c>
      <c r="P128" s="15" t="str">
        <f aca="false">IF(OR(G128="",J128=""),"",J128-G128)</f>
        <v/>
      </c>
    </row>
    <row r="129" customFormat="false" ht="15" hidden="false" customHeight="false" outlineLevel="0" collapsed="false">
      <c r="N129" s="15" t="str">
        <f aca="false">IFERROR(MATCH(K129,Lists!$A$2:$A$6,0),"")</f>
        <v/>
      </c>
      <c r="O129" s="15" t="str">
        <f aca="false">IF(OR(G129="",H129=""),"",H129-G129)</f>
        <v/>
      </c>
      <c r="P129" s="15" t="str">
        <f aca="false">IF(OR(G129="",J129=""),"",J129-G129)</f>
        <v/>
      </c>
    </row>
    <row r="130" customFormat="false" ht="15" hidden="false" customHeight="false" outlineLevel="0" collapsed="false">
      <c r="N130" s="15" t="str">
        <f aca="false">IFERROR(MATCH(K130,Lists!$A$2:$A$6,0),"")</f>
        <v/>
      </c>
      <c r="O130" s="15" t="str">
        <f aca="false">IF(OR(G130="",H130=""),"",H130-G130)</f>
        <v/>
      </c>
      <c r="P130" s="15" t="str">
        <f aca="false">IF(OR(G130="",J130=""),"",J130-G130)</f>
        <v/>
      </c>
    </row>
    <row r="131" customFormat="false" ht="15" hidden="false" customHeight="false" outlineLevel="0" collapsed="false">
      <c r="N131" s="15" t="str">
        <f aca="false">IFERROR(MATCH(K131,Lists!$A$2:$A$6,0),"")</f>
        <v/>
      </c>
      <c r="O131" s="15" t="str">
        <f aca="false">IF(OR(G131="",H131=""),"",H131-G131)</f>
        <v/>
      </c>
      <c r="P131" s="15" t="str">
        <f aca="false">IF(OR(G131="",J131=""),"",J131-G131)</f>
        <v/>
      </c>
    </row>
    <row r="132" customFormat="false" ht="15" hidden="false" customHeight="false" outlineLevel="0" collapsed="false">
      <c r="N132" s="15" t="str">
        <f aca="false">IFERROR(MATCH(K132,Lists!$A$2:$A$6,0),"")</f>
        <v/>
      </c>
      <c r="O132" s="15" t="str">
        <f aca="false">IF(OR(G132="",H132=""),"",H132-G132)</f>
        <v/>
      </c>
      <c r="P132" s="15" t="str">
        <f aca="false">IF(OR(G132="",J132=""),"",J132-G132)</f>
        <v/>
      </c>
    </row>
    <row r="133" customFormat="false" ht="15" hidden="false" customHeight="false" outlineLevel="0" collapsed="false">
      <c r="N133" s="15" t="str">
        <f aca="false">IFERROR(MATCH(K133,Lists!$A$2:$A$6,0),"")</f>
        <v/>
      </c>
      <c r="O133" s="15" t="str">
        <f aca="false">IF(OR(G133="",H133=""),"",H133-G133)</f>
        <v/>
      </c>
      <c r="P133" s="15" t="str">
        <f aca="false">IF(OR(G133="",J133=""),"",J133-G133)</f>
        <v/>
      </c>
    </row>
    <row r="134" customFormat="false" ht="15" hidden="false" customHeight="false" outlineLevel="0" collapsed="false">
      <c r="N134" s="15" t="str">
        <f aca="false">IFERROR(MATCH(K134,Lists!$A$2:$A$6,0),"")</f>
        <v/>
      </c>
      <c r="O134" s="15" t="str">
        <f aca="false">IF(OR(G134="",H134=""),"",H134-G134)</f>
        <v/>
      </c>
      <c r="P134" s="15" t="str">
        <f aca="false">IF(OR(G134="",J134=""),"",J134-G134)</f>
        <v/>
      </c>
    </row>
    <row r="135" customFormat="false" ht="15" hidden="false" customHeight="false" outlineLevel="0" collapsed="false">
      <c r="N135" s="15" t="str">
        <f aca="false">IFERROR(MATCH(K135,Lists!$A$2:$A$6,0),"")</f>
        <v/>
      </c>
      <c r="O135" s="15" t="str">
        <f aca="false">IF(OR(G135="",H135=""),"",H135-G135)</f>
        <v/>
      </c>
      <c r="P135" s="15" t="str">
        <f aca="false">IF(OR(G135="",J135=""),"",J135-G135)</f>
        <v/>
      </c>
    </row>
    <row r="136" customFormat="false" ht="15" hidden="false" customHeight="false" outlineLevel="0" collapsed="false">
      <c r="N136" s="15" t="str">
        <f aca="false">IFERROR(MATCH(K136,Lists!$A$2:$A$6,0),"")</f>
        <v/>
      </c>
      <c r="O136" s="15" t="str">
        <f aca="false">IF(OR(G136="",H136=""),"",H136-G136)</f>
        <v/>
      </c>
      <c r="P136" s="15" t="str">
        <f aca="false">IF(OR(G136="",J136=""),"",J136-G136)</f>
        <v/>
      </c>
    </row>
    <row r="137" customFormat="false" ht="15" hidden="false" customHeight="false" outlineLevel="0" collapsed="false">
      <c r="N137" s="15" t="str">
        <f aca="false">IFERROR(MATCH(K137,Lists!$A$2:$A$6,0),"")</f>
        <v/>
      </c>
      <c r="O137" s="15" t="str">
        <f aca="false">IF(OR(G137="",H137=""),"",H137-G137)</f>
        <v/>
      </c>
      <c r="P137" s="15" t="str">
        <f aca="false">IF(OR(G137="",J137=""),"",J137-G137)</f>
        <v/>
      </c>
    </row>
    <row r="138" customFormat="false" ht="15" hidden="false" customHeight="false" outlineLevel="0" collapsed="false">
      <c r="N138" s="15" t="str">
        <f aca="false">IFERROR(MATCH(K138,Lists!$A$2:$A$6,0),"")</f>
        <v/>
      </c>
      <c r="O138" s="15" t="str">
        <f aca="false">IF(OR(G138="",H138=""),"",H138-G138)</f>
        <v/>
      </c>
      <c r="P138" s="15" t="str">
        <f aca="false">IF(OR(G138="",J138=""),"",J138-G138)</f>
        <v/>
      </c>
    </row>
    <row r="139" customFormat="false" ht="15" hidden="false" customHeight="false" outlineLevel="0" collapsed="false">
      <c r="N139" s="15" t="str">
        <f aca="false">IFERROR(MATCH(K139,Lists!$A$2:$A$6,0),"")</f>
        <v/>
      </c>
      <c r="O139" s="15" t="str">
        <f aca="false">IF(OR(G139="",H139=""),"",H139-G139)</f>
        <v/>
      </c>
      <c r="P139" s="15" t="str">
        <f aca="false">IF(OR(G139="",J139=""),"",J139-G139)</f>
        <v/>
      </c>
    </row>
    <row r="140" customFormat="false" ht="15" hidden="false" customHeight="false" outlineLevel="0" collapsed="false">
      <c r="N140" s="15" t="str">
        <f aca="false">IFERROR(MATCH(K140,Lists!$A$2:$A$6,0),"")</f>
        <v/>
      </c>
      <c r="O140" s="15" t="str">
        <f aca="false">IF(OR(G140="",H140=""),"",H140-G140)</f>
        <v/>
      </c>
      <c r="P140" s="15" t="str">
        <f aca="false">IF(OR(G140="",J140=""),"",J140-G140)</f>
        <v/>
      </c>
    </row>
    <row r="141" customFormat="false" ht="15" hidden="false" customHeight="false" outlineLevel="0" collapsed="false">
      <c r="N141" s="15" t="str">
        <f aca="false">IFERROR(MATCH(K141,Lists!$A$2:$A$6,0),"")</f>
        <v/>
      </c>
      <c r="O141" s="15" t="str">
        <f aca="false">IF(OR(G141="",H141=""),"",H141-G141)</f>
        <v/>
      </c>
      <c r="P141" s="15" t="str">
        <f aca="false">IF(OR(G141="",J141=""),"",J141-G141)</f>
        <v/>
      </c>
    </row>
    <row r="142" customFormat="false" ht="15" hidden="false" customHeight="false" outlineLevel="0" collapsed="false">
      <c r="N142" s="15" t="str">
        <f aca="false">IFERROR(MATCH(K142,Lists!$A$2:$A$6,0),"")</f>
        <v/>
      </c>
      <c r="O142" s="15" t="str">
        <f aca="false">IF(OR(G142="",H142=""),"",H142-G142)</f>
        <v/>
      </c>
      <c r="P142" s="15" t="str">
        <f aca="false">IF(OR(G142="",J142=""),"",J142-G142)</f>
        <v/>
      </c>
    </row>
    <row r="143" customFormat="false" ht="15" hidden="false" customHeight="false" outlineLevel="0" collapsed="false">
      <c r="N143" s="15" t="str">
        <f aca="false">IFERROR(MATCH(K143,Lists!$A$2:$A$6,0),"")</f>
        <v/>
      </c>
      <c r="O143" s="15" t="str">
        <f aca="false">IF(OR(G143="",H143=""),"",H143-G143)</f>
        <v/>
      </c>
      <c r="P143" s="15" t="str">
        <f aca="false">IF(OR(G143="",J143=""),"",J143-G143)</f>
        <v/>
      </c>
    </row>
    <row r="144" customFormat="false" ht="15" hidden="false" customHeight="false" outlineLevel="0" collapsed="false">
      <c r="N144" s="15" t="str">
        <f aca="false">IFERROR(MATCH(K144,Lists!$A$2:$A$6,0),"")</f>
        <v/>
      </c>
      <c r="O144" s="15" t="str">
        <f aca="false">IF(OR(G144="",H144=""),"",H144-G144)</f>
        <v/>
      </c>
      <c r="P144" s="15" t="str">
        <f aca="false">IF(OR(G144="",J144=""),"",J144-G144)</f>
        <v/>
      </c>
    </row>
    <row r="145" customFormat="false" ht="15" hidden="false" customHeight="false" outlineLevel="0" collapsed="false">
      <c r="N145" s="15" t="str">
        <f aca="false">IFERROR(MATCH(K145,Lists!$A$2:$A$6,0),"")</f>
        <v/>
      </c>
      <c r="O145" s="15" t="str">
        <f aca="false">IF(OR(G145="",H145=""),"",H145-G145)</f>
        <v/>
      </c>
      <c r="P145" s="15" t="str">
        <f aca="false">IF(OR(G145="",J145=""),"",J145-G145)</f>
        <v/>
      </c>
    </row>
    <row r="146" customFormat="false" ht="15" hidden="false" customHeight="false" outlineLevel="0" collapsed="false">
      <c r="N146" s="15" t="str">
        <f aca="false">IFERROR(MATCH(K146,Lists!$A$2:$A$6,0),"")</f>
        <v/>
      </c>
      <c r="O146" s="15" t="str">
        <f aca="false">IF(OR(G146="",H146=""),"",H146-G146)</f>
        <v/>
      </c>
      <c r="P146" s="15" t="str">
        <f aca="false">IF(OR(G146="",J146=""),"",J146-G146)</f>
        <v/>
      </c>
    </row>
    <row r="147" customFormat="false" ht="15" hidden="false" customHeight="false" outlineLevel="0" collapsed="false">
      <c r="N147" s="15" t="str">
        <f aca="false">IFERROR(MATCH(K147,Lists!$A$2:$A$6,0),"")</f>
        <v/>
      </c>
      <c r="O147" s="15" t="str">
        <f aca="false">IF(OR(G147="",H147=""),"",H147-G147)</f>
        <v/>
      </c>
      <c r="P147" s="15" t="str">
        <f aca="false">IF(OR(G147="",J147=""),"",J147-G147)</f>
        <v/>
      </c>
    </row>
    <row r="148" customFormat="false" ht="15" hidden="false" customHeight="false" outlineLevel="0" collapsed="false">
      <c r="N148" s="15" t="str">
        <f aca="false">IFERROR(MATCH(K148,Lists!$A$2:$A$6,0),"")</f>
        <v/>
      </c>
      <c r="O148" s="15" t="str">
        <f aca="false">IF(OR(G148="",H148=""),"",H148-G148)</f>
        <v/>
      </c>
      <c r="P148" s="15" t="str">
        <f aca="false">IF(OR(G148="",J148=""),"",J148-G148)</f>
        <v/>
      </c>
    </row>
    <row r="149" customFormat="false" ht="15" hidden="false" customHeight="false" outlineLevel="0" collapsed="false">
      <c r="N149" s="15" t="str">
        <f aca="false">IFERROR(MATCH(K149,Lists!$A$2:$A$6,0),"")</f>
        <v/>
      </c>
      <c r="O149" s="15" t="str">
        <f aca="false">IF(OR(G149="",H149=""),"",H149-G149)</f>
        <v/>
      </c>
      <c r="P149" s="15" t="str">
        <f aca="false">IF(OR(G149="",J149=""),"",J149-G149)</f>
        <v/>
      </c>
    </row>
    <row r="150" customFormat="false" ht="15" hidden="false" customHeight="false" outlineLevel="0" collapsed="false">
      <c r="N150" s="15" t="str">
        <f aca="false">IFERROR(MATCH(K150,Lists!$A$2:$A$6,0),"")</f>
        <v/>
      </c>
      <c r="O150" s="15" t="str">
        <f aca="false">IF(OR(G150="",H150=""),"",H150-G150)</f>
        <v/>
      </c>
      <c r="P150" s="15" t="str">
        <f aca="false">IF(OR(G150="",J150=""),"",J150-G150)</f>
        <v/>
      </c>
    </row>
    <row r="151" customFormat="false" ht="15" hidden="false" customHeight="false" outlineLevel="0" collapsed="false">
      <c r="N151" s="15" t="str">
        <f aca="false">IFERROR(MATCH(K151,Lists!$A$2:$A$6,0),"")</f>
        <v/>
      </c>
      <c r="O151" s="15" t="str">
        <f aca="false">IF(OR(G151="",H151=""),"",H151-G151)</f>
        <v/>
      </c>
      <c r="P151" s="15" t="str">
        <f aca="false">IF(OR(G151="",J151=""),"",J151-G151)</f>
        <v/>
      </c>
    </row>
    <row r="152" customFormat="false" ht="15" hidden="false" customHeight="false" outlineLevel="0" collapsed="false">
      <c r="N152" s="15" t="str">
        <f aca="false">IFERROR(MATCH(K152,Lists!$A$2:$A$6,0),"")</f>
        <v/>
      </c>
      <c r="O152" s="15" t="str">
        <f aca="false">IF(OR(G152="",H152=""),"",H152-G152)</f>
        <v/>
      </c>
      <c r="P152" s="15" t="str">
        <f aca="false">IF(OR(G152="",J152=""),"",J152-G152)</f>
        <v/>
      </c>
    </row>
    <row r="153" customFormat="false" ht="15" hidden="false" customHeight="false" outlineLevel="0" collapsed="false">
      <c r="N153" s="15" t="str">
        <f aca="false">IFERROR(MATCH(K153,Lists!$A$2:$A$6,0),"")</f>
        <v/>
      </c>
      <c r="O153" s="15" t="str">
        <f aca="false">IF(OR(G153="",H153=""),"",H153-G153)</f>
        <v/>
      </c>
      <c r="P153" s="15" t="str">
        <f aca="false">IF(OR(G153="",J153=""),"",J153-G153)</f>
        <v/>
      </c>
    </row>
    <row r="154" customFormat="false" ht="15" hidden="false" customHeight="false" outlineLevel="0" collapsed="false">
      <c r="N154" s="15" t="str">
        <f aca="false">IFERROR(MATCH(K154,Lists!$A$2:$A$6,0),"")</f>
        <v/>
      </c>
      <c r="O154" s="15" t="str">
        <f aca="false">IF(OR(G154="",H154=""),"",H154-G154)</f>
        <v/>
      </c>
      <c r="P154" s="15" t="str">
        <f aca="false">IF(OR(G154="",J154=""),"",J154-G154)</f>
        <v/>
      </c>
    </row>
    <row r="155" customFormat="false" ht="15" hidden="false" customHeight="false" outlineLevel="0" collapsed="false">
      <c r="N155" s="15" t="str">
        <f aca="false">IFERROR(MATCH(K155,Lists!$A$2:$A$6,0),"")</f>
        <v/>
      </c>
      <c r="O155" s="15" t="str">
        <f aca="false">IF(OR(G155="",H155=""),"",H155-G155)</f>
        <v/>
      </c>
      <c r="P155" s="15" t="str">
        <f aca="false">IF(OR(G155="",J155=""),"",J155-G155)</f>
        <v/>
      </c>
    </row>
    <row r="156" customFormat="false" ht="15" hidden="false" customHeight="false" outlineLevel="0" collapsed="false">
      <c r="N156" s="15" t="str">
        <f aca="false">IFERROR(MATCH(K156,Lists!$A$2:$A$6,0),"")</f>
        <v/>
      </c>
      <c r="O156" s="15" t="str">
        <f aca="false">IF(OR(G156="",H156=""),"",H156-G156)</f>
        <v/>
      </c>
      <c r="P156" s="15" t="str">
        <f aca="false">IF(OR(G156="",J156=""),"",J156-G156)</f>
        <v/>
      </c>
    </row>
    <row r="157" customFormat="false" ht="15" hidden="false" customHeight="false" outlineLevel="0" collapsed="false">
      <c r="N157" s="15" t="str">
        <f aca="false">IFERROR(MATCH(K157,Lists!$A$2:$A$6,0),"")</f>
        <v/>
      </c>
      <c r="O157" s="15" t="str">
        <f aca="false">IF(OR(G157="",H157=""),"",H157-G157)</f>
        <v/>
      </c>
      <c r="P157" s="15" t="str">
        <f aca="false">IF(OR(G157="",J157=""),"",J157-G157)</f>
        <v/>
      </c>
    </row>
    <row r="158" customFormat="false" ht="15" hidden="false" customHeight="false" outlineLevel="0" collapsed="false">
      <c r="N158" s="15" t="str">
        <f aca="false">IFERROR(MATCH(K158,Lists!$A$2:$A$6,0),"")</f>
        <v/>
      </c>
      <c r="O158" s="15" t="str">
        <f aca="false">IF(OR(G158="",H158=""),"",H158-G158)</f>
        <v/>
      </c>
      <c r="P158" s="15" t="str">
        <f aca="false">IF(OR(G158="",J158=""),"",J158-G158)</f>
        <v/>
      </c>
    </row>
    <row r="159" customFormat="false" ht="15" hidden="false" customHeight="false" outlineLevel="0" collapsed="false">
      <c r="N159" s="15" t="str">
        <f aca="false">IFERROR(MATCH(K159,Lists!$A$2:$A$6,0),"")</f>
        <v/>
      </c>
      <c r="O159" s="15" t="str">
        <f aca="false">IF(OR(G159="",H159=""),"",H159-G159)</f>
        <v/>
      </c>
      <c r="P159" s="15" t="str">
        <f aca="false">IF(OR(G159="",J159=""),"",J159-G159)</f>
        <v/>
      </c>
    </row>
    <row r="160" customFormat="false" ht="15" hidden="false" customHeight="false" outlineLevel="0" collapsed="false">
      <c r="N160" s="15" t="str">
        <f aca="false">IFERROR(MATCH(K160,Lists!$A$2:$A$6,0),"")</f>
        <v/>
      </c>
      <c r="O160" s="15" t="str">
        <f aca="false">IF(OR(G160="",H160=""),"",H160-G160)</f>
        <v/>
      </c>
      <c r="P160" s="15" t="str">
        <f aca="false">IF(OR(G160="",J160=""),"",J160-G160)</f>
        <v/>
      </c>
    </row>
    <row r="161" customFormat="false" ht="15" hidden="false" customHeight="false" outlineLevel="0" collapsed="false">
      <c r="N161" s="15" t="str">
        <f aca="false">IFERROR(MATCH(K161,Lists!$A$2:$A$6,0),"")</f>
        <v/>
      </c>
      <c r="O161" s="15" t="str">
        <f aca="false">IF(OR(G161="",H161=""),"",H161-G161)</f>
        <v/>
      </c>
      <c r="P161" s="15" t="str">
        <f aca="false">IF(OR(G161="",J161=""),"",J161-G161)</f>
        <v/>
      </c>
    </row>
    <row r="162" customFormat="false" ht="15" hidden="false" customHeight="false" outlineLevel="0" collapsed="false">
      <c r="N162" s="15" t="str">
        <f aca="false">IFERROR(MATCH(K162,Lists!$A$2:$A$6,0),"")</f>
        <v/>
      </c>
      <c r="O162" s="15" t="str">
        <f aca="false">IF(OR(G162="",H162=""),"",H162-G162)</f>
        <v/>
      </c>
      <c r="P162" s="15" t="str">
        <f aca="false">IF(OR(G162="",J162=""),"",J162-G162)</f>
        <v/>
      </c>
    </row>
    <row r="163" customFormat="false" ht="15" hidden="false" customHeight="false" outlineLevel="0" collapsed="false">
      <c r="N163" s="15" t="str">
        <f aca="false">IFERROR(MATCH(K163,Lists!$A$2:$A$6,0),"")</f>
        <v/>
      </c>
      <c r="O163" s="15" t="str">
        <f aca="false">IF(OR(G163="",H163=""),"",H163-G163)</f>
        <v/>
      </c>
      <c r="P163" s="15" t="str">
        <f aca="false">IF(OR(G163="",J163=""),"",J163-G163)</f>
        <v/>
      </c>
    </row>
    <row r="164" customFormat="false" ht="15" hidden="false" customHeight="false" outlineLevel="0" collapsed="false">
      <c r="N164" s="15" t="str">
        <f aca="false">IFERROR(MATCH(K164,Lists!$A$2:$A$6,0),"")</f>
        <v/>
      </c>
      <c r="O164" s="15" t="str">
        <f aca="false">IF(OR(G164="",H164=""),"",H164-G164)</f>
        <v/>
      </c>
      <c r="P164" s="15" t="str">
        <f aca="false">IF(OR(G164="",J164=""),"",J164-G164)</f>
        <v/>
      </c>
    </row>
    <row r="165" customFormat="false" ht="15" hidden="false" customHeight="false" outlineLevel="0" collapsed="false">
      <c r="N165" s="15" t="str">
        <f aca="false">IFERROR(MATCH(K165,Lists!$A$2:$A$6,0),"")</f>
        <v/>
      </c>
      <c r="O165" s="15" t="str">
        <f aca="false">IF(OR(G165="",H165=""),"",H165-G165)</f>
        <v/>
      </c>
      <c r="P165" s="15" t="str">
        <f aca="false">IF(OR(G165="",J165=""),"",J165-G165)</f>
        <v/>
      </c>
    </row>
    <row r="166" customFormat="false" ht="15" hidden="false" customHeight="false" outlineLevel="0" collapsed="false">
      <c r="N166" s="15" t="str">
        <f aca="false">IFERROR(MATCH(K166,Lists!$A$2:$A$6,0),"")</f>
        <v/>
      </c>
      <c r="O166" s="15" t="str">
        <f aca="false">IF(OR(G166="",H166=""),"",H166-G166)</f>
        <v/>
      </c>
      <c r="P166" s="15" t="str">
        <f aca="false">IF(OR(G166="",J166=""),"",J166-G166)</f>
        <v/>
      </c>
    </row>
    <row r="167" customFormat="false" ht="15" hidden="false" customHeight="false" outlineLevel="0" collapsed="false">
      <c r="N167" s="15" t="str">
        <f aca="false">IFERROR(MATCH(K167,Lists!$A$2:$A$6,0),"")</f>
        <v/>
      </c>
      <c r="O167" s="15" t="str">
        <f aca="false">IF(OR(G167="",H167=""),"",H167-G167)</f>
        <v/>
      </c>
      <c r="P167" s="15" t="str">
        <f aca="false">IF(OR(G167="",J167=""),"",J167-G167)</f>
        <v/>
      </c>
    </row>
    <row r="168" customFormat="false" ht="15" hidden="false" customHeight="false" outlineLevel="0" collapsed="false">
      <c r="N168" s="15" t="str">
        <f aca="false">IFERROR(MATCH(K168,Lists!$A$2:$A$6,0),"")</f>
        <v/>
      </c>
      <c r="O168" s="15" t="str">
        <f aca="false">IF(OR(G168="",H168=""),"",H168-G168)</f>
        <v/>
      </c>
      <c r="P168" s="15" t="str">
        <f aca="false">IF(OR(G168="",J168=""),"",J168-G168)</f>
        <v/>
      </c>
    </row>
    <row r="169" customFormat="false" ht="15" hidden="false" customHeight="false" outlineLevel="0" collapsed="false">
      <c r="N169" s="15" t="str">
        <f aca="false">IFERROR(MATCH(K169,Lists!$A$2:$A$6,0),"")</f>
        <v/>
      </c>
      <c r="O169" s="15" t="str">
        <f aca="false">IF(OR(G169="",H169=""),"",H169-G169)</f>
        <v/>
      </c>
      <c r="P169" s="15" t="str">
        <f aca="false">IF(OR(G169="",J169=""),"",J169-G169)</f>
        <v/>
      </c>
    </row>
    <row r="170" customFormat="false" ht="15" hidden="false" customHeight="false" outlineLevel="0" collapsed="false">
      <c r="N170" s="15" t="str">
        <f aca="false">IFERROR(MATCH(K170,Lists!$A$2:$A$6,0),"")</f>
        <v/>
      </c>
      <c r="O170" s="15" t="str">
        <f aca="false">IF(OR(G170="",H170=""),"",H170-G170)</f>
        <v/>
      </c>
      <c r="P170" s="15" t="str">
        <f aca="false">IF(OR(G170="",J170=""),"",J170-G170)</f>
        <v/>
      </c>
    </row>
    <row r="171" customFormat="false" ht="15" hidden="false" customHeight="false" outlineLevel="0" collapsed="false">
      <c r="N171" s="15" t="str">
        <f aca="false">IFERROR(MATCH(K171,Lists!$A$2:$A$6,0),"")</f>
        <v/>
      </c>
      <c r="O171" s="15" t="str">
        <f aca="false">IF(OR(G171="",H171=""),"",H171-G171)</f>
        <v/>
      </c>
      <c r="P171" s="15" t="str">
        <f aca="false">IF(OR(G171="",J171=""),"",J171-G171)</f>
        <v/>
      </c>
    </row>
    <row r="172" customFormat="false" ht="15" hidden="false" customHeight="false" outlineLevel="0" collapsed="false">
      <c r="N172" s="15" t="str">
        <f aca="false">IFERROR(MATCH(K172,Lists!$A$2:$A$6,0),"")</f>
        <v/>
      </c>
      <c r="O172" s="15" t="str">
        <f aca="false">IF(OR(G172="",H172=""),"",H172-G172)</f>
        <v/>
      </c>
      <c r="P172" s="15" t="str">
        <f aca="false">IF(OR(G172="",J172=""),"",J172-G172)</f>
        <v/>
      </c>
    </row>
    <row r="173" customFormat="false" ht="15" hidden="false" customHeight="false" outlineLevel="0" collapsed="false">
      <c r="N173" s="15" t="str">
        <f aca="false">IFERROR(MATCH(K173,Lists!$A$2:$A$6,0),"")</f>
        <v/>
      </c>
      <c r="O173" s="15" t="str">
        <f aca="false">IF(OR(G173="",H173=""),"",H173-G173)</f>
        <v/>
      </c>
      <c r="P173" s="15" t="str">
        <f aca="false">IF(OR(G173="",J173=""),"",J173-G173)</f>
        <v/>
      </c>
    </row>
    <row r="174" customFormat="false" ht="15" hidden="false" customHeight="false" outlineLevel="0" collapsed="false">
      <c r="N174" s="15" t="str">
        <f aca="false">IFERROR(MATCH(K174,Lists!$A$2:$A$6,0),"")</f>
        <v/>
      </c>
      <c r="O174" s="15" t="str">
        <f aca="false">IF(OR(G174="",H174=""),"",H174-G174)</f>
        <v/>
      </c>
      <c r="P174" s="15" t="str">
        <f aca="false">IF(OR(G174="",J174=""),"",J174-G174)</f>
        <v/>
      </c>
    </row>
    <row r="175" customFormat="false" ht="15" hidden="false" customHeight="false" outlineLevel="0" collapsed="false">
      <c r="N175" s="15" t="str">
        <f aca="false">IFERROR(MATCH(K175,Lists!$A$2:$A$6,0),"")</f>
        <v/>
      </c>
      <c r="O175" s="15" t="str">
        <f aca="false">IF(OR(G175="",H175=""),"",H175-G175)</f>
        <v/>
      </c>
      <c r="P175" s="15" t="str">
        <f aca="false">IF(OR(G175="",J175=""),"",J175-G175)</f>
        <v/>
      </c>
    </row>
    <row r="176" customFormat="false" ht="15" hidden="false" customHeight="false" outlineLevel="0" collapsed="false">
      <c r="N176" s="15" t="str">
        <f aca="false">IFERROR(MATCH(K176,Lists!$A$2:$A$6,0),"")</f>
        <v/>
      </c>
      <c r="O176" s="15" t="str">
        <f aca="false">IF(OR(G176="",H176=""),"",H176-G176)</f>
        <v/>
      </c>
      <c r="P176" s="15" t="str">
        <f aca="false">IF(OR(G176="",J176=""),"",J176-G176)</f>
        <v/>
      </c>
    </row>
    <row r="177" customFormat="false" ht="15" hidden="false" customHeight="false" outlineLevel="0" collapsed="false">
      <c r="N177" s="15" t="str">
        <f aca="false">IFERROR(MATCH(K177,Lists!$A$2:$A$6,0),"")</f>
        <v/>
      </c>
      <c r="O177" s="15" t="str">
        <f aca="false">IF(OR(G177="",H177=""),"",H177-G177)</f>
        <v/>
      </c>
      <c r="P177" s="15" t="str">
        <f aca="false">IF(OR(G177="",J177=""),"",J177-G177)</f>
        <v/>
      </c>
    </row>
    <row r="178" customFormat="false" ht="15" hidden="false" customHeight="false" outlineLevel="0" collapsed="false">
      <c r="N178" s="15" t="str">
        <f aca="false">IFERROR(MATCH(K178,Lists!$A$2:$A$6,0),"")</f>
        <v/>
      </c>
      <c r="O178" s="15" t="str">
        <f aca="false">IF(OR(G178="",H178=""),"",H178-G178)</f>
        <v/>
      </c>
      <c r="P178" s="15" t="str">
        <f aca="false">IF(OR(G178="",J178=""),"",J178-G178)</f>
        <v/>
      </c>
    </row>
    <row r="179" customFormat="false" ht="15" hidden="false" customHeight="false" outlineLevel="0" collapsed="false">
      <c r="N179" s="15" t="str">
        <f aca="false">IFERROR(MATCH(K179,Lists!$A$2:$A$6,0),"")</f>
        <v/>
      </c>
      <c r="O179" s="15" t="str">
        <f aca="false">IF(OR(G179="",H179=""),"",H179-G179)</f>
        <v/>
      </c>
      <c r="P179" s="15" t="str">
        <f aca="false">IF(OR(G179="",J179=""),"",J179-G179)</f>
        <v/>
      </c>
    </row>
    <row r="180" customFormat="false" ht="15" hidden="false" customHeight="false" outlineLevel="0" collapsed="false">
      <c r="N180" s="15" t="str">
        <f aca="false">IFERROR(MATCH(K180,Lists!$A$2:$A$6,0),"")</f>
        <v/>
      </c>
      <c r="O180" s="15" t="str">
        <f aca="false">IF(OR(G180="",H180=""),"",H180-G180)</f>
        <v/>
      </c>
      <c r="P180" s="15" t="str">
        <f aca="false">IF(OR(G180="",J180=""),"",J180-G180)</f>
        <v/>
      </c>
    </row>
    <row r="181" customFormat="false" ht="15" hidden="false" customHeight="false" outlineLevel="0" collapsed="false">
      <c r="N181" s="15" t="str">
        <f aca="false">IFERROR(MATCH(K181,Lists!$A$2:$A$6,0),"")</f>
        <v/>
      </c>
      <c r="O181" s="15" t="str">
        <f aca="false">IF(OR(G181="",H181=""),"",H181-G181)</f>
        <v/>
      </c>
      <c r="P181" s="15" t="str">
        <f aca="false">IF(OR(G181="",J181=""),"",J181-G181)</f>
        <v/>
      </c>
    </row>
    <row r="182" customFormat="false" ht="15" hidden="false" customHeight="false" outlineLevel="0" collapsed="false">
      <c r="N182" s="15" t="str">
        <f aca="false">IFERROR(MATCH(K182,Lists!$A$2:$A$6,0),"")</f>
        <v/>
      </c>
      <c r="O182" s="15" t="str">
        <f aca="false">IF(OR(G182="",H182=""),"",H182-G182)</f>
        <v/>
      </c>
      <c r="P182" s="15" t="str">
        <f aca="false">IF(OR(G182="",J182=""),"",J182-G182)</f>
        <v/>
      </c>
    </row>
    <row r="183" customFormat="false" ht="15" hidden="false" customHeight="false" outlineLevel="0" collapsed="false">
      <c r="N183" s="15" t="str">
        <f aca="false">IFERROR(MATCH(K183,Lists!$A$2:$A$6,0),"")</f>
        <v/>
      </c>
      <c r="O183" s="15" t="str">
        <f aca="false">IF(OR(G183="",H183=""),"",H183-G183)</f>
        <v/>
      </c>
      <c r="P183" s="15" t="str">
        <f aca="false">IF(OR(G183="",J183=""),"",J183-G183)</f>
        <v/>
      </c>
    </row>
    <row r="184" customFormat="false" ht="15" hidden="false" customHeight="false" outlineLevel="0" collapsed="false">
      <c r="N184" s="15" t="str">
        <f aca="false">IFERROR(MATCH(K184,Lists!$A$2:$A$6,0),"")</f>
        <v/>
      </c>
      <c r="O184" s="15" t="str">
        <f aca="false">IF(OR(G184="",H184=""),"",H184-G184)</f>
        <v/>
      </c>
      <c r="P184" s="15" t="str">
        <f aca="false">IF(OR(G184="",J184=""),"",J184-G184)</f>
        <v/>
      </c>
    </row>
    <row r="185" customFormat="false" ht="15" hidden="false" customHeight="false" outlineLevel="0" collapsed="false">
      <c r="N185" s="15" t="str">
        <f aca="false">IFERROR(MATCH(K185,Lists!$A$2:$A$6,0),"")</f>
        <v/>
      </c>
      <c r="O185" s="15" t="str">
        <f aca="false">IF(OR(G185="",H185=""),"",H185-G185)</f>
        <v/>
      </c>
      <c r="P185" s="15" t="str">
        <f aca="false">IF(OR(G185="",J185=""),"",J185-G185)</f>
        <v/>
      </c>
    </row>
    <row r="186" customFormat="false" ht="15" hidden="false" customHeight="false" outlineLevel="0" collapsed="false">
      <c r="N186" s="15" t="str">
        <f aca="false">IFERROR(MATCH(K186,Lists!$A$2:$A$6,0),"")</f>
        <v/>
      </c>
      <c r="O186" s="15" t="str">
        <f aca="false">IF(OR(G186="",H186=""),"",H186-G186)</f>
        <v/>
      </c>
      <c r="P186" s="15" t="str">
        <f aca="false">IF(OR(G186="",J186=""),"",J186-G186)</f>
        <v/>
      </c>
    </row>
    <row r="187" customFormat="false" ht="15" hidden="false" customHeight="false" outlineLevel="0" collapsed="false">
      <c r="N187" s="15" t="str">
        <f aca="false">IFERROR(MATCH(K187,Lists!$A$2:$A$6,0),"")</f>
        <v/>
      </c>
      <c r="O187" s="15" t="str">
        <f aca="false">IF(OR(G187="",H187=""),"",H187-G187)</f>
        <v/>
      </c>
      <c r="P187" s="15" t="str">
        <f aca="false">IF(OR(G187="",J187=""),"",J187-G187)</f>
        <v/>
      </c>
    </row>
    <row r="188" customFormat="false" ht="15" hidden="false" customHeight="false" outlineLevel="0" collapsed="false">
      <c r="N188" s="15" t="str">
        <f aca="false">IFERROR(MATCH(K188,Lists!$A$2:$A$6,0),"")</f>
        <v/>
      </c>
      <c r="O188" s="15" t="str">
        <f aca="false">IF(OR(G188="",H188=""),"",H188-G188)</f>
        <v/>
      </c>
      <c r="P188" s="15" t="str">
        <f aca="false">IF(OR(G188="",J188=""),"",J188-G188)</f>
        <v/>
      </c>
    </row>
    <row r="189" customFormat="false" ht="15" hidden="false" customHeight="false" outlineLevel="0" collapsed="false">
      <c r="N189" s="15" t="str">
        <f aca="false">IFERROR(MATCH(K189,Lists!$A$2:$A$6,0),"")</f>
        <v/>
      </c>
      <c r="O189" s="15" t="str">
        <f aca="false">IF(OR(G189="",H189=""),"",H189-G189)</f>
        <v/>
      </c>
      <c r="P189" s="15" t="str">
        <f aca="false">IF(OR(G189="",J189=""),"",J189-G189)</f>
        <v/>
      </c>
    </row>
    <row r="190" customFormat="false" ht="15" hidden="false" customHeight="false" outlineLevel="0" collapsed="false">
      <c r="N190" s="15" t="str">
        <f aca="false">IFERROR(MATCH(K190,Lists!$A$2:$A$6,0),"")</f>
        <v/>
      </c>
      <c r="O190" s="15" t="str">
        <f aca="false">IF(OR(G190="",H190=""),"",H190-G190)</f>
        <v/>
      </c>
      <c r="P190" s="15" t="str">
        <f aca="false">IF(OR(G190="",J190=""),"",J190-G190)</f>
        <v/>
      </c>
    </row>
    <row r="191" customFormat="false" ht="15" hidden="false" customHeight="false" outlineLevel="0" collapsed="false">
      <c r="N191" s="15" t="str">
        <f aca="false">IFERROR(MATCH(K191,Lists!$A$2:$A$6,0),"")</f>
        <v/>
      </c>
      <c r="O191" s="15" t="str">
        <f aca="false">IF(OR(G191="",H191=""),"",H191-G191)</f>
        <v/>
      </c>
      <c r="P191" s="15" t="str">
        <f aca="false">IF(OR(G191="",J191=""),"",J191-G191)</f>
        <v/>
      </c>
    </row>
    <row r="192" customFormat="false" ht="15" hidden="false" customHeight="false" outlineLevel="0" collapsed="false">
      <c r="N192" s="15" t="str">
        <f aca="false">IFERROR(MATCH(K192,Lists!$A$2:$A$6,0),"")</f>
        <v/>
      </c>
      <c r="O192" s="15" t="str">
        <f aca="false">IF(OR(G192="",H192=""),"",H192-G192)</f>
        <v/>
      </c>
      <c r="P192" s="15" t="str">
        <f aca="false">IF(OR(G192="",J192=""),"",J192-G192)</f>
        <v/>
      </c>
    </row>
    <row r="193" customFormat="false" ht="15" hidden="false" customHeight="false" outlineLevel="0" collapsed="false">
      <c r="N193" s="15" t="str">
        <f aca="false">IFERROR(MATCH(K193,Lists!$A$2:$A$6,0),"")</f>
        <v/>
      </c>
      <c r="O193" s="15" t="str">
        <f aca="false">IF(OR(G193="",H193=""),"",H193-G193)</f>
        <v/>
      </c>
      <c r="P193" s="15" t="str">
        <f aca="false">IF(OR(G193="",J193=""),"",J193-G193)</f>
        <v/>
      </c>
    </row>
    <row r="194" customFormat="false" ht="15" hidden="false" customHeight="false" outlineLevel="0" collapsed="false">
      <c r="N194" s="15" t="str">
        <f aca="false">IFERROR(MATCH(K194,Lists!$A$2:$A$6,0),"")</f>
        <v/>
      </c>
      <c r="O194" s="15" t="str">
        <f aca="false">IF(OR(G194="",H194=""),"",H194-G194)</f>
        <v/>
      </c>
      <c r="P194" s="15" t="str">
        <f aca="false">IF(OR(G194="",J194=""),"",J194-G194)</f>
        <v/>
      </c>
    </row>
    <row r="195" customFormat="false" ht="15" hidden="false" customHeight="false" outlineLevel="0" collapsed="false">
      <c r="N195" s="15" t="str">
        <f aca="false">IFERROR(MATCH(K195,Lists!$A$2:$A$6,0),"")</f>
        <v/>
      </c>
      <c r="O195" s="15" t="str">
        <f aca="false">IF(OR(G195="",H195=""),"",H195-G195)</f>
        <v/>
      </c>
      <c r="P195" s="15" t="str">
        <f aca="false">IF(OR(G195="",J195=""),"",J195-G195)</f>
        <v/>
      </c>
    </row>
    <row r="196" customFormat="false" ht="15" hidden="false" customHeight="false" outlineLevel="0" collapsed="false">
      <c r="N196" s="15" t="str">
        <f aca="false">IFERROR(MATCH(K196,Lists!$A$2:$A$6,0),"")</f>
        <v/>
      </c>
      <c r="O196" s="15" t="str">
        <f aca="false">IF(OR(G196="",H196=""),"",H196-G196)</f>
        <v/>
      </c>
      <c r="P196" s="15" t="str">
        <f aca="false">IF(OR(G196="",J196=""),"",J196-G196)</f>
        <v/>
      </c>
    </row>
    <row r="197" customFormat="false" ht="15" hidden="false" customHeight="false" outlineLevel="0" collapsed="false">
      <c r="N197" s="15" t="str">
        <f aca="false">IFERROR(MATCH(K197,Lists!$A$2:$A$6,0),"")</f>
        <v/>
      </c>
      <c r="O197" s="15" t="str">
        <f aca="false">IF(OR(G197="",H197=""),"",H197-G197)</f>
        <v/>
      </c>
      <c r="P197" s="15" t="str">
        <f aca="false">IF(OR(G197="",J197=""),"",J197-G197)</f>
        <v/>
      </c>
    </row>
    <row r="198" customFormat="false" ht="15" hidden="false" customHeight="false" outlineLevel="0" collapsed="false">
      <c r="N198" s="15" t="str">
        <f aca="false">IFERROR(MATCH(K198,Lists!$A$2:$A$6,0),"")</f>
        <v/>
      </c>
      <c r="O198" s="15" t="str">
        <f aca="false">IF(OR(G198="",H198=""),"",H198-G198)</f>
        <v/>
      </c>
      <c r="P198" s="15" t="str">
        <f aca="false">IF(OR(G198="",J198=""),"",J198-G198)</f>
        <v/>
      </c>
    </row>
    <row r="199" customFormat="false" ht="15" hidden="false" customHeight="false" outlineLevel="0" collapsed="false">
      <c r="N199" s="15" t="str">
        <f aca="false">IFERROR(MATCH(K199,Lists!$A$2:$A$6,0),"")</f>
        <v/>
      </c>
      <c r="O199" s="15" t="str">
        <f aca="false">IF(OR(G199="",H199=""),"",H199-G199)</f>
        <v/>
      </c>
      <c r="P199" s="15" t="str">
        <f aca="false">IF(OR(G199="",J199=""),"",J199-G199)</f>
        <v/>
      </c>
    </row>
    <row r="200" customFormat="false" ht="15" hidden="false" customHeight="false" outlineLevel="0" collapsed="false">
      <c r="N200" s="15" t="str">
        <f aca="false">IFERROR(MATCH(K200,Lists!$A$2:$A$6,0),"")</f>
        <v/>
      </c>
      <c r="O200" s="15" t="str">
        <f aca="false">IF(OR(G200="",H200=""),"",H200-G200)</f>
        <v/>
      </c>
      <c r="P200" s="15" t="str">
        <f aca="false">IF(OR(G200="",J200=""),"",J200-G200)</f>
        <v/>
      </c>
    </row>
    <row r="201" customFormat="false" ht="15" hidden="false" customHeight="false" outlineLevel="0" collapsed="false">
      <c r="N201" s="15" t="str">
        <f aca="false">IFERROR(MATCH(K201,Lists!$A$2:$A$6,0),"")</f>
        <v/>
      </c>
      <c r="O201" s="15" t="str">
        <f aca="false">IF(OR(G201="",H201=""),"",H201-G201)</f>
        <v/>
      </c>
      <c r="P201" s="15" t="str">
        <f aca="false">IF(OR(G201="",J201=""),"",J201-G201)</f>
        <v/>
      </c>
    </row>
    <row r="202" customFormat="false" ht="15" hidden="false" customHeight="false" outlineLevel="0" collapsed="false">
      <c r="N202" s="15" t="str">
        <f aca="false">IFERROR(MATCH(K202,Lists!$A$2:$A$6,0),"")</f>
        <v/>
      </c>
      <c r="O202" s="15" t="str">
        <f aca="false">IF(OR(G202="",H202=""),"",H202-G202)</f>
        <v/>
      </c>
      <c r="P202" s="15" t="str">
        <f aca="false">IF(OR(G202="",J202=""),"",J202-G202)</f>
        <v/>
      </c>
    </row>
    <row r="203" customFormat="false" ht="15" hidden="false" customHeight="false" outlineLevel="0" collapsed="false">
      <c r="N203" s="15" t="str">
        <f aca="false">IFERROR(MATCH(K203,Lists!$A$2:$A$6,0),"")</f>
        <v/>
      </c>
      <c r="O203" s="15" t="str">
        <f aca="false">IF(OR(G203="",H203=""),"",H203-G203)</f>
        <v/>
      </c>
      <c r="P203" s="15" t="str">
        <f aca="false">IF(OR(G203="",J203=""),"",J203-G203)</f>
        <v/>
      </c>
    </row>
    <row r="204" customFormat="false" ht="15" hidden="false" customHeight="false" outlineLevel="0" collapsed="false">
      <c r="N204" s="15" t="str">
        <f aca="false">IFERROR(MATCH(K204,Lists!$A$2:$A$6,0),"")</f>
        <v/>
      </c>
      <c r="O204" s="15" t="str">
        <f aca="false">IF(OR(G204="",H204=""),"",H204-G204)</f>
        <v/>
      </c>
      <c r="P204" s="15" t="str">
        <f aca="false">IF(OR(G204="",J204=""),"",J204-G204)</f>
        <v/>
      </c>
    </row>
    <row r="205" customFormat="false" ht="15" hidden="false" customHeight="false" outlineLevel="0" collapsed="false">
      <c r="N205" s="15" t="str">
        <f aca="false">IFERROR(MATCH(K205,Lists!$A$2:$A$6,0),"")</f>
        <v/>
      </c>
      <c r="O205" s="15" t="str">
        <f aca="false">IF(OR(G205="",H205=""),"",H205-G205)</f>
        <v/>
      </c>
      <c r="P205" s="15" t="str">
        <f aca="false">IF(OR(G205="",J205=""),"",J205-G205)</f>
        <v/>
      </c>
    </row>
    <row r="206" customFormat="false" ht="15" hidden="false" customHeight="false" outlineLevel="0" collapsed="false">
      <c r="N206" s="15" t="str">
        <f aca="false">IFERROR(MATCH(K206,Lists!$A$2:$A$6,0),"")</f>
        <v/>
      </c>
      <c r="O206" s="15" t="str">
        <f aca="false">IF(OR(G206="",H206=""),"",H206-G206)</f>
        <v/>
      </c>
      <c r="P206" s="15" t="str">
        <f aca="false">IF(OR(G206="",J206=""),"",J206-G206)</f>
        <v/>
      </c>
    </row>
    <row r="207" customFormat="false" ht="15" hidden="false" customHeight="false" outlineLevel="0" collapsed="false">
      <c r="N207" s="15" t="str">
        <f aca="false">IFERROR(MATCH(K207,Lists!$A$2:$A$6,0),"")</f>
        <v/>
      </c>
      <c r="O207" s="15" t="str">
        <f aca="false">IF(OR(G207="",H207=""),"",H207-G207)</f>
        <v/>
      </c>
      <c r="P207" s="15" t="str">
        <f aca="false">IF(OR(G207="",J207=""),"",J207-G207)</f>
        <v/>
      </c>
    </row>
    <row r="208" customFormat="false" ht="15" hidden="false" customHeight="false" outlineLevel="0" collapsed="false">
      <c r="N208" s="15" t="str">
        <f aca="false">IFERROR(MATCH(K208,Lists!$A$2:$A$6,0),"")</f>
        <v/>
      </c>
      <c r="O208" s="15" t="str">
        <f aca="false">IF(OR(G208="",H208=""),"",H208-G208)</f>
        <v/>
      </c>
      <c r="P208" s="15" t="str">
        <f aca="false">IF(OR(G208="",J208=""),"",J208-G208)</f>
        <v/>
      </c>
    </row>
    <row r="209" customFormat="false" ht="15" hidden="false" customHeight="false" outlineLevel="0" collapsed="false">
      <c r="N209" s="15" t="str">
        <f aca="false">IFERROR(MATCH(K209,Lists!$A$2:$A$6,0),"")</f>
        <v/>
      </c>
      <c r="O209" s="15" t="str">
        <f aca="false">IF(OR(G209="",H209=""),"",H209-G209)</f>
        <v/>
      </c>
      <c r="P209" s="15" t="str">
        <f aca="false">IF(OR(G209="",J209=""),"",J209-G209)</f>
        <v/>
      </c>
    </row>
    <row r="210" customFormat="false" ht="15" hidden="false" customHeight="false" outlineLevel="0" collapsed="false">
      <c r="N210" s="15" t="str">
        <f aca="false">IFERROR(MATCH(K210,Lists!$A$2:$A$6,0),"")</f>
        <v/>
      </c>
      <c r="O210" s="15" t="str">
        <f aca="false">IF(OR(G210="",H210=""),"",H210-G210)</f>
        <v/>
      </c>
      <c r="P210" s="15" t="str">
        <f aca="false">IF(OR(G210="",J210=""),"",J210-G210)</f>
        <v/>
      </c>
    </row>
    <row r="211" customFormat="false" ht="15" hidden="false" customHeight="false" outlineLevel="0" collapsed="false">
      <c r="N211" s="15" t="str">
        <f aca="false">IFERROR(MATCH(K211,Lists!$A$2:$A$6,0),"")</f>
        <v/>
      </c>
      <c r="O211" s="15" t="str">
        <f aca="false">IF(OR(G211="",H211=""),"",H211-G211)</f>
        <v/>
      </c>
      <c r="P211" s="15" t="str">
        <f aca="false">IF(OR(G211="",J211=""),"",J211-G211)</f>
        <v/>
      </c>
    </row>
    <row r="212" customFormat="false" ht="15" hidden="false" customHeight="false" outlineLevel="0" collapsed="false">
      <c r="N212" s="15" t="str">
        <f aca="false">IFERROR(MATCH(K212,Lists!$A$2:$A$6,0),"")</f>
        <v/>
      </c>
      <c r="O212" s="15" t="str">
        <f aca="false">IF(OR(G212="",H212=""),"",H212-G212)</f>
        <v/>
      </c>
      <c r="P212" s="15" t="str">
        <f aca="false">IF(OR(G212="",J212=""),"",J212-G212)</f>
        <v/>
      </c>
    </row>
    <row r="213" customFormat="false" ht="15" hidden="false" customHeight="false" outlineLevel="0" collapsed="false">
      <c r="N213" s="15" t="str">
        <f aca="false">IFERROR(MATCH(K213,Lists!$A$2:$A$6,0),"")</f>
        <v/>
      </c>
      <c r="O213" s="15" t="str">
        <f aca="false">IF(OR(G213="",H213=""),"",H213-G213)</f>
        <v/>
      </c>
      <c r="P213" s="15" t="str">
        <f aca="false">IF(OR(G213="",J213=""),"",J213-G213)</f>
        <v/>
      </c>
    </row>
    <row r="214" customFormat="false" ht="15" hidden="false" customHeight="false" outlineLevel="0" collapsed="false">
      <c r="N214" s="15" t="str">
        <f aca="false">IFERROR(MATCH(K214,Lists!$A$2:$A$6,0),"")</f>
        <v/>
      </c>
      <c r="O214" s="15" t="str">
        <f aca="false">IF(OR(G214="",H214=""),"",H214-G214)</f>
        <v/>
      </c>
      <c r="P214" s="15" t="str">
        <f aca="false">IF(OR(G214="",J214=""),"",J214-G214)</f>
        <v/>
      </c>
    </row>
    <row r="215" customFormat="false" ht="15" hidden="false" customHeight="false" outlineLevel="0" collapsed="false">
      <c r="N215" s="15" t="str">
        <f aca="false">IFERROR(MATCH(K215,Lists!$A$2:$A$6,0),"")</f>
        <v/>
      </c>
      <c r="O215" s="15" t="str">
        <f aca="false">IF(OR(G215="",H215=""),"",H215-G215)</f>
        <v/>
      </c>
      <c r="P215" s="15" t="str">
        <f aca="false">IF(OR(G215="",J215=""),"",J215-G215)</f>
        <v/>
      </c>
    </row>
    <row r="216" customFormat="false" ht="15" hidden="false" customHeight="false" outlineLevel="0" collapsed="false">
      <c r="N216" s="15" t="str">
        <f aca="false">IFERROR(MATCH(K216,Lists!$A$2:$A$6,0),"")</f>
        <v/>
      </c>
      <c r="O216" s="15" t="str">
        <f aca="false">IF(OR(G216="",H216=""),"",H216-G216)</f>
        <v/>
      </c>
      <c r="P216" s="15" t="str">
        <f aca="false">IF(OR(G216="",J216=""),"",J216-G216)</f>
        <v/>
      </c>
    </row>
    <row r="217" customFormat="false" ht="15" hidden="false" customHeight="false" outlineLevel="0" collapsed="false">
      <c r="N217" s="15" t="str">
        <f aca="false">IFERROR(MATCH(K217,Lists!$A$2:$A$6,0),"")</f>
        <v/>
      </c>
      <c r="O217" s="15" t="str">
        <f aca="false">IF(OR(G217="",H217=""),"",H217-G217)</f>
        <v/>
      </c>
      <c r="P217" s="15" t="str">
        <f aca="false">IF(OR(G217="",J217=""),"",J217-G217)</f>
        <v/>
      </c>
    </row>
    <row r="218" customFormat="false" ht="15" hidden="false" customHeight="false" outlineLevel="0" collapsed="false">
      <c r="N218" s="15" t="str">
        <f aca="false">IFERROR(MATCH(K218,Lists!$A$2:$A$6,0),"")</f>
        <v/>
      </c>
      <c r="O218" s="15" t="str">
        <f aca="false">IF(OR(G218="",H218=""),"",H218-G218)</f>
        <v/>
      </c>
      <c r="P218" s="15" t="str">
        <f aca="false">IF(OR(G218="",J218=""),"",J218-G218)</f>
        <v/>
      </c>
    </row>
    <row r="219" customFormat="false" ht="15" hidden="false" customHeight="false" outlineLevel="0" collapsed="false">
      <c r="N219" s="15" t="str">
        <f aca="false">IFERROR(MATCH(K219,Lists!$A$2:$A$6,0),"")</f>
        <v/>
      </c>
      <c r="O219" s="15" t="str">
        <f aca="false">IF(OR(G219="",H219=""),"",H219-G219)</f>
        <v/>
      </c>
      <c r="P219" s="15" t="str">
        <f aca="false">IF(OR(G219="",J219=""),"",J219-G219)</f>
        <v/>
      </c>
    </row>
    <row r="220" customFormat="false" ht="15" hidden="false" customHeight="false" outlineLevel="0" collapsed="false">
      <c r="N220" s="15" t="str">
        <f aca="false">IFERROR(MATCH(K220,Lists!$A$2:$A$6,0),"")</f>
        <v/>
      </c>
      <c r="O220" s="15" t="str">
        <f aca="false">IF(OR(G220="",H220=""),"",H220-G220)</f>
        <v/>
      </c>
      <c r="P220" s="15" t="str">
        <f aca="false">IF(OR(G220="",J220=""),"",J220-G220)</f>
        <v/>
      </c>
    </row>
    <row r="221" customFormat="false" ht="15" hidden="false" customHeight="false" outlineLevel="0" collapsed="false">
      <c r="N221" s="15" t="str">
        <f aca="false">IFERROR(MATCH(K221,Lists!$A$2:$A$6,0),"")</f>
        <v/>
      </c>
      <c r="O221" s="15" t="str">
        <f aca="false">IF(OR(G221="",H221=""),"",H221-G221)</f>
        <v/>
      </c>
      <c r="P221" s="15" t="str">
        <f aca="false">IF(OR(G221="",J221=""),"",J221-G221)</f>
        <v/>
      </c>
    </row>
    <row r="222" customFormat="false" ht="15" hidden="false" customHeight="false" outlineLevel="0" collapsed="false">
      <c r="N222" s="15" t="str">
        <f aca="false">IFERROR(MATCH(K222,Lists!$A$2:$A$6,0),"")</f>
        <v/>
      </c>
      <c r="O222" s="15" t="str">
        <f aca="false">IF(OR(G222="",H222=""),"",H222-G222)</f>
        <v/>
      </c>
      <c r="P222" s="15" t="str">
        <f aca="false">IF(OR(G222="",J222=""),"",J222-G222)</f>
        <v/>
      </c>
    </row>
    <row r="223" customFormat="false" ht="15" hidden="false" customHeight="false" outlineLevel="0" collapsed="false">
      <c r="N223" s="15" t="str">
        <f aca="false">IFERROR(MATCH(K223,Lists!$A$2:$A$6,0),"")</f>
        <v/>
      </c>
      <c r="O223" s="15" t="str">
        <f aca="false">IF(OR(G223="",H223=""),"",H223-G223)</f>
        <v/>
      </c>
      <c r="P223" s="15" t="str">
        <f aca="false">IF(OR(G223="",J223=""),"",J223-G223)</f>
        <v/>
      </c>
    </row>
    <row r="224" customFormat="false" ht="15" hidden="false" customHeight="false" outlineLevel="0" collapsed="false">
      <c r="N224" s="15" t="str">
        <f aca="false">IFERROR(MATCH(K224,Lists!$A$2:$A$6,0),"")</f>
        <v/>
      </c>
      <c r="O224" s="15" t="str">
        <f aca="false">IF(OR(G224="",H224=""),"",H224-G224)</f>
        <v/>
      </c>
      <c r="P224" s="15" t="str">
        <f aca="false">IF(OR(G224="",J224=""),"",J224-G224)</f>
        <v/>
      </c>
    </row>
    <row r="225" customFormat="false" ht="15" hidden="false" customHeight="false" outlineLevel="0" collapsed="false">
      <c r="N225" s="15" t="str">
        <f aca="false">IFERROR(MATCH(K225,Lists!$A$2:$A$6,0),"")</f>
        <v/>
      </c>
      <c r="O225" s="15" t="str">
        <f aca="false">IF(OR(G225="",H225=""),"",H225-G225)</f>
        <v/>
      </c>
      <c r="P225" s="15" t="str">
        <f aca="false">IF(OR(G225="",J225=""),"",J225-G225)</f>
        <v/>
      </c>
    </row>
    <row r="226" customFormat="false" ht="15" hidden="false" customHeight="false" outlineLevel="0" collapsed="false">
      <c r="N226" s="15" t="str">
        <f aca="false">IFERROR(MATCH(K226,Lists!$A$2:$A$6,0),"")</f>
        <v/>
      </c>
      <c r="O226" s="15" t="str">
        <f aca="false">IF(OR(G226="",H226=""),"",H226-G226)</f>
        <v/>
      </c>
      <c r="P226" s="15" t="str">
        <f aca="false">IF(OR(G226="",J226=""),"",J226-G226)</f>
        <v/>
      </c>
    </row>
    <row r="227" customFormat="false" ht="15" hidden="false" customHeight="false" outlineLevel="0" collapsed="false">
      <c r="N227" s="15" t="str">
        <f aca="false">IFERROR(MATCH(K227,Lists!$A$2:$A$6,0),"")</f>
        <v/>
      </c>
      <c r="O227" s="15" t="str">
        <f aca="false">IF(OR(G227="",H227=""),"",H227-G227)</f>
        <v/>
      </c>
      <c r="P227" s="15" t="str">
        <f aca="false">IF(OR(G227="",J227=""),"",J227-G227)</f>
        <v/>
      </c>
    </row>
    <row r="228" customFormat="false" ht="15" hidden="false" customHeight="false" outlineLevel="0" collapsed="false">
      <c r="N228" s="15" t="str">
        <f aca="false">IFERROR(MATCH(K228,Lists!$A$2:$A$6,0),"")</f>
        <v/>
      </c>
      <c r="O228" s="15" t="str">
        <f aca="false">IF(OR(G228="",H228=""),"",H228-G228)</f>
        <v/>
      </c>
      <c r="P228" s="15" t="str">
        <f aca="false">IF(OR(G228="",J228=""),"",J228-G228)</f>
        <v/>
      </c>
    </row>
    <row r="229" customFormat="false" ht="15" hidden="false" customHeight="false" outlineLevel="0" collapsed="false">
      <c r="N229" s="15" t="str">
        <f aca="false">IFERROR(MATCH(K229,Lists!$A$2:$A$6,0),"")</f>
        <v/>
      </c>
      <c r="O229" s="15" t="str">
        <f aca="false">IF(OR(G229="",H229=""),"",H229-G229)</f>
        <v/>
      </c>
      <c r="P229" s="15" t="str">
        <f aca="false">IF(OR(G229="",J229=""),"",J229-G229)</f>
        <v/>
      </c>
    </row>
    <row r="230" customFormat="false" ht="15" hidden="false" customHeight="false" outlineLevel="0" collapsed="false">
      <c r="N230" s="15" t="str">
        <f aca="false">IFERROR(MATCH(K230,Lists!$A$2:$A$6,0),"")</f>
        <v/>
      </c>
      <c r="O230" s="15" t="str">
        <f aca="false">IF(OR(G230="",H230=""),"",H230-G230)</f>
        <v/>
      </c>
      <c r="P230" s="15" t="str">
        <f aca="false">IF(OR(G230="",J230=""),"",J230-G230)</f>
        <v/>
      </c>
    </row>
    <row r="231" customFormat="false" ht="15" hidden="false" customHeight="false" outlineLevel="0" collapsed="false">
      <c r="N231" s="15" t="str">
        <f aca="false">IFERROR(MATCH(K231,Lists!$A$2:$A$6,0),"")</f>
        <v/>
      </c>
      <c r="O231" s="15" t="str">
        <f aca="false">IF(OR(G231="",H231=""),"",H231-G231)</f>
        <v/>
      </c>
      <c r="P231" s="15" t="str">
        <f aca="false">IF(OR(G231="",J231=""),"",J231-G231)</f>
        <v/>
      </c>
    </row>
    <row r="232" customFormat="false" ht="15" hidden="false" customHeight="false" outlineLevel="0" collapsed="false">
      <c r="N232" s="15" t="str">
        <f aca="false">IFERROR(MATCH(K232,Lists!$A$2:$A$6,0),"")</f>
        <v/>
      </c>
      <c r="O232" s="15" t="str">
        <f aca="false">IF(OR(G232="",H232=""),"",H232-G232)</f>
        <v/>
      </c>
      <c r="P232" s="15" t="str">
        <f aca="false">IF(OR(G232="",J232=""),"",J232-G232)</f>
        <v/>
      </c>
    </row>
    <row r="233" customFormat="false" ht="15" hidden="false" customHeight="false" outlineLevel="0" collapsed="false">
      <c r="N233" s="15" t="str">
        <f aca="false">IFERROR(MATCH(K233,Lists!$A$2:$A$6,0),"")</f>
        <v/>
      </c>
      <c r="O233" s="15" t="str">
        <f aca="false">IF(OR(G233="",H233=""),"",H233-G233)</f>
        <v/>
      </c>
      <c r="P233" s="15" t="str">
        <f aca="false">IF(OR(G233="",J233=""),"",J233-G233)</f>
        <v/>
      </c>
    </row>
    <row r="234" customFormat="false" ht="15" hidden="false" customHeight="false" outlineLevel="0" collapsed="false">
      <c r="N234" s="15" t="str">
        <f aca="false">IFERROR(MATCH(K234,Lists!$A$2:$A$6,0),"")</f>
        <v/>
      </c>
      <c r="O234" s="15" t="str">
        <f aca="false">IF(OR(G234="",H234=""),"",H234-G234)</f>
        <v/>
      </c>
      <c r="P234" s="15" t="str">
        <f aca="false">IF(OR(G234="",J234=""),"",J234-G234)</f>
        <v/>
      </c>
    </row>
    <row r="235" customFormat="false" ht="15" hidden="false" customHeight="false" outlineLevel="0" collapsed="false">
      <c r="N235" s="15" t="str">
        <f aca="false">IFERROR(MATCH(K235,Lists!$A$2:$A$6,0),"")</f>
        <v/>
      </c>
      <c r="O235" s="15" t="str">
        <f aca="false">IF(OR(G235="",H235=""),"",H235-G235)</f>
        <v/>
      </c>
      <c r="P235" s="15" t="str">
        <f aca="false">IF(OR(G235="",J235=""),"",J235-G235)</f>
        <v/>
      </c>
    </row>
    <row r="236" customFormat="false" ht="15" hidden="false" customHeight="false" outlineLevel="0" collapsed="false">
      <c r="N236" s="15" t="str">
        <f aca="false">IFERROR(MATCH(K236,Lists!$A$2:$A$6,0),"")</f>
        <v/>
      </c>
      <c r="O236" s="15" t="str">
        <f aca="false">IF(OR(G236="",H236=""),"",H236-G236)</f>
        <v/>
      </c>
      <c r="P236" s="15" t="str">
        <f aca="false">IF(OR(G236="",J236=""),"",J236-G236)</f>
        <v/>
      </c>
    </row>
    <row r="237" customFormat="false" ht="15" hidden="false" customHeight="false" outlineLevel="0" collapsed="false">
      <c r="N237" s="15" t="str">
        <f aca="false">IFERROR(MATCH(K237,Lists!$A$2:$A$6,0),"")</f>
        <v/>
      </c>
      <c r="O237" s="15" t="str">
        <f aca="false">IF(OR(G237="",H237=""),"",H237-G237)</f>
        <v/>
      </c>
      <c r="P237" s="15" t="str">
        <f aca="false">IF(OR(G237="",J237=""),"",J237-G237)</f>
        <v/>
      </c>
    </row>
    <row r="238" customFormat="false" ht="15" hidden="false" customHeight="false" outlineLevel="0" collapsed="false">
      <c r="N238" s="15" t="str">
        <f aca="false">IFERROR(MATCH(K238,Lists!$A$2:$A$6,0),"")</f>
        <v/>
      </c>
      <c r="O238" s="15" t="str">
        <f aca="false">IF(OR(G238="",H238=""),"",H238-G238)</f>
        <v/>
      </c>
      <c r="P238" s="15" t="str">
        <f aca="false">IF(OR(G238="",J238=""),"",J238-G238)</f>
        <v/>
      </c>
    </row>
    <row r="239" customFormat="false" ht="15" hidden="false" customHeight="false" outlineLevel="0" collapsed="false">
      <c r="N239" s="15" t="str">
        <f aca="false">IFERROR(MATCH(K239,Lists!$A$2:$A$6,0),"")</f>
        <v/>
      </c>
      <c r="O239" s="15" t="str">
        <f aca="false">IF(OR(G239="",H239=""),"",H239-G239)</f>
        <v/>
      </c>
      <c r="P239" s="15" t="str">
        <f aca="false">IF(OR(G239="",J239=""),"",J239-G239)</f>
        <v/>
      </c>
    </row>
    <row r="240" customFormat="false" ht="15" hidden="false" customHeight="false" outlineLevel="0" collapsed="false">
      <c r="N240" s="15" t="str">
        <f aca="false">IFERROR(MATCH(K240,Lists!$A$2:$A$6,0),"")</f>
        <v/>
      </c>
      <c r="O240" s="15" t="str">
        <f aca="false">IF(OR(G240="",H240=""),"",H240-G240)</f>
        <v/>
      </c>
      <c r="P240" s="15" t="str">
        <f aca="false">IF(OR(G240="",J240=""),"",J240-G240)</f>
        <v/>
      </c>
    </row>
    <row r="241" customFormat="false" ht="15" hidden="false" customHeight="false" outlineLevel="0" collapsed="false">
      <c r="N241" s="15" t="str">
        <f aca="false">IFERROR(MATCH(K241,Lists!$A$2:$A$6,0),"")</f>
        <v/>
      </c>
      <c r="O241" s="15" t="str">
        <f aca="false">IF(OR(G241="",H241=""),"",H241-G241)</f>
        <v/>
      </c>
      <c r="P241" s="15" t="str">
        <f aca="false">IF(OR(G241="",J241=""),"",J241-G241)</f>
        <v/>
      </c>
    </row>
    <row r="242" customFormat="false" ht="15" hidden="false" customHeight="false" outlineLevel="0" collapsed="false">
      <c r="N242" s="15" t="str">
        <f aca="false">IFERROR(MATCH(K242,Lists!$A$2:$A$6,0),"")</f>
        <v/>
      </c>
      <c r="O242" s="15" t="str">
        <f aca="false">IF(OR(G242="",H242=""),"",H242-G242)</f>
        <v/>
      </c>
      <c r="P242" s="15" t="str">
        <f aca="false">IF(OR(G242="",J242=""),"",J242-G242)</f>
        <v/>
      </c>
    </row>
    <row r="243" customFormat="false" ht="15" hidden="false" customHeight="false" outlineLevel="0" collapsed="false">
      <c r="N243" s="15" t="str">
        <f aca="false">IFERROR(MATCH(K243,Lists!$A$2:$A$6,0),"")</f>
        <v/>
      </c>
      <c r="O243" s="15" t="str">
        <f aca="false">IF(OR(G243="",H243=""),"",H243-G243)</f>
        <v/>
      </c>
      <c r="P243" s="15" t="str">
        <f aca="false">IF(OR(G243="",J243=""),"",J243-G243)</f>
        <v/>
      </c>
    </row>
    <row r="244" customFormat="false" ht="15" hidden="false" customHeight="false" outlineLevel="0" collapsed="false">
      <c r="N244" s="15" t="str">
        <f aca="false">IFERROR(MATCH(K244,Lists!$A$2:$A$6,0),"")</f>
        <v/>
      </c>
      <c r="O244" s="15" t="str">
        <f aca="false">IF(OR(G244="",H244=""),"",H244-G244)</f>
        <v/>
      </c>
      <c r="P244" s="15" t="str">
        <f aca="false">IF(OR(G244="",J244=""),"",J244-G244)</f>
        <v/>
      </c>
    </row>
    <row r="245" customFormat="false" ht="15" hidden="false" customHeight="false" outlineLevel="0" collapsed="false">
      <c r="N245" s="15" t="str">
        <f aca="false">IFERROR(MATCH(K245,Lists!$A$2:$A$6,0),"")</f>
        <v/>
      </c>
      <c r="O245" s="15" t="str">
        <f aca="false">IF(OR(G245="",H245=""),"",H245-G245)</f>
        <v/>
      </c>
      <c r="P245" s="15" t="str">
        <f aca="false">IF(OR(G245="",J245=""),"",J245-G245)</f>
        <v/>
      </c>
    </row>
    <row r="246" customFormat="false" ht="15" hidden="false" customHeight="false" outlineLevel="0" collapsed="false">
      <c r="N246" s="15" t="str">
        <f aca="false">IFERROR(MATCH(K246,Lists!$A$2:$A$6,0),"")</f>
        <v/>
      </c>
      <c r="O246" s="15" t="str">
        <f aca="false">IF(OR(G246="",H246=""),"",H246-G246)</f>
        <v/>
      </c>
      <c r="P246" s="15" t="str">
        <f aca="false">IF(OR(G246="",J246=""),"",J246-G246)</f>
        <v/>
      </c>
    </row>
    <row r="247" customFormat="false" ht="15" hidden="false" customHeight="false" outlineLevel="0" collapsed="false">
      <c r="N247" s="15" t="str">
        <f aca="false">IFERROR(MATCH(K247,Lists!$A$2:$A$6,0),"")</f>
        <v/>
      </c>
      <c r="O247" s="15" t="str">
        <f aca="false">IF(OR(G247="",H247=""),"",H247-G247)</f>
        <v/>
      </c>
      <c r="P247" s="15" t="str">
        <f aca="false">IF(OR(G247="",J247=""),"",J247-G247)</f>
        <v/>
      </c>
    </row>
    <row r="248" customFormat="false" ht="15" hidden="false" customHeight="false" outlineLevel="0" collapsed="false">
      <c r="N248" s="15" t="str">
        <f aca="false">IFERROR(MATCH(K248,Lists!$A$2:$A$6,0),"")</f>
        <v/>
      </c>
      <c r="O248" s="15" t="str">
        <f aca="false">IF(OR(G248="",H248=""),"",H248-G248)</f>
        <v/>
      </c>
      <c r="P248" s="15" t="str">
        <f aca="false">IF(OR(G248="",J248=""),"",J248-G248)</f>
        <v/>
      </c>
    </row>
    <row r="249" customFormat="false" ht="15" hidden="false" customHeight="false" outlineLevel="0" collapsed="false">
      <c r="N249" s="15" t="str">
        <f aca="false">IFERROR(MATCH(K249,Lists!$A$2:$A$6,0),"")</f>
        <v/>
      </c>
      <c r="O249" s="15" t="str">
        <f aca="false">IF(OR(G249="",H249=""),"",H249-G249)</f>
        <v/>
      </c>
      <c r="P249" s="15" t="str">
        <f aca="false">IF(OR(G249="",J249=""),"",J249-G249)</f>
        <v/>
      </c>
    </row>
    <row r="250" customFormat="false" ht="15" hidden="false" customHeight="false" outlineLevel="0" collapsed="false">
      <c r="N250" s="15" t="str">
        <f aca="false">IFERROR(MATCH(K250,Lists!$A$2:$A$6,0),"")</f>
        <v/>
      </c>
      <c r="O250" s="15" t="str">
        <f aca="false">IF(OR(G250="",H250=""),"",H250-G250)</f>
        <v/>
      </c>
      <c r="P250" s="15" t="str">
        <f aca="false">IF(OR(G250="",J250=""),"",J250-G250)</f>
        <v/>
      </c>
    </row>
    <row r="251" customFormat="false" ht="15" hidden="false" customHeight="false" outlineLevel="0" collapsed="false">
      <c r="N251" s="15" t="str">
        <f aca="false">IFERROR(MATCH(K251,Lists!$A$2:$A$6,0),"")</f>
        <v/>
      </c>
      <c r="O251" s="15" t="str">
        <f aca="false">IF(OR(G251="",H251=""),"",H251-G251)</f>
        <v/>
      </c>
      <c r="P251" s="15" t="str">
        <f aca="false">IF(OR(G251="",J251=""),"",J251-G251)</f>
        <v/>
      </c>
    </row>
    <row r="252" customFormat="false" ht="15" hidden="false" customHeight="false" outlineLevel="0" collapsed="false">
      <c r="N252" s="15" t="str">
        <f aca="false">IFERROR(MATCH(K252,Lists!$A$2:$A$6,0),"")</f>
        <v/>
      </c>
      <c r="O252" s="15" t="str">
        <f aca="false">IF(OR(G252="",H252=""),"",H252-G252)</f>
        <v/>
      </c>
      <c r="P252" s="15" t="str">
        <f aca="false">IF(OR(G252="",J252=""),"",J252-G252)</f>
        <v/>
      </c>
    </row>
    <row r="253" customFormat="false" ht="15" hidden="false" customHeight="false" outlineLevel="0" collapsed="false">
      <c r="N253" s="15" t="str">
        <f aca="false">IFERROR(MATCH(K253,Lists!$A$2:$A$6,0),"")</f>
        <v/>
      </c>
      <c r="O253" s="15" t="str">
        <f aca="false">IF(OR(G253="",H253=""),"",H253-G253)</f>
        <v/>
      </c>
      <c r="P253" s="15" t="str">
        <f aca="false">IF(OR(G253="",J253=""),"",J253-G253)</f>
        <v/>
      </c>
    </row>
    <row r="254" customFormat="false" ht="15" hidden="false" customHeight="false" outlineLevel="0" collapsed="false">
      <c r="N254" s="15" t="str">
        <f aca="false">IFERROR(MATCH(K254,Lists!$A$2:$A$6,0),"")</f>
        <v/>
      </c>
      <c r="O254" s="15" t="str">
        <f aca="false">IF(OR(G254="",H254=""),"",H254-G254)</f>
        <v/>
      </c>
      <c r="P254" s="15" t="str">
        <f aca="false">IF(OR(G254="",J254=""),"",J254-G254)</f>
        <v/>
      </c>
    </row>
    <row r="255" customFormat="false" ht="15" hidden="false" customHeight="false" outlineLevel="0" collapsed="false">
      <c r="N255" s="15" t="str">
        <f aca="false">IFERROR(MATCH(K255,Lists!$A$2:$A$6,0),"")</f>
        <v/>
      </c>
      <c r="O255" s="15" t="str">
        <f aca="false">IF(OR(G255="",H255=""),"",H255-G255)</f>
        <v/>
      </c>
      <c r="P255" s="15" t="str">
        <f aca="false">IF(OR(G255="",J255=""),"",J255-G255)</f>
        <v/>
      </c>
    </row>
    <row r="256" customFormat="false" ht="15" hidden="false" customHeight="false" outlineLevel="0" collapsed="false">
      <c r="N256" s="15" t="str">
        <f aca="false">IFERROR(MATCH(K256,Lists!$A$2:$A$6,0),"")</f>
        <v/>
      </c>
      <c r="O256" s="15" t="str">
        <f aca="false">IF(OR(G256="",H256=""),"",H256-G256)</f>
        <v/>
      </c>
      <c r="P256" s="15" t="str">
        <f aca="false">IF(OR(G256="",J256=""),"",J256-G256)</f>
        <v/>
      </c>
    </row>
    <row r="257" customFormat="false" ht="15" hidden="false" customHeight="false" outlineLevel="0" collapsed="false">
      <c r="N257" s="15" t="str">
        <f aca="false">IFERROR(MATCH(K257,Lists!$A$2:$A$6,0),"")</f>
        <v/>
      </c>
      <c r="O257" s="15" t="str">
        <f aca="false">IF(OR(G257="",H257=""),"",H257-G257)</f>
        <v/>
      </c>
      <c r="P257" s="15" t="str">
        <f aca="false">IF(OR(G257="",J257=""),"",J257-G257)</f>
        <v/>
      </c>
    </row>
    <row r="258" customFormat="false" ht="15" hidden="false" customHeight="false" outlineLevel="0" collapsed="false">
      <c r="N258" s="15" t="str">
        <f aca="false">IFERROR(MATCH(K258,Lists!$A$2:$A$6,0),"")</f>
        <v/>
      </c>
      <c r="O258" s="15" t="str">
        <f aca="false">IF(OR(G258="",H258=""),"",H258-G258)</f>
        <v/>
      </c>
      <c r="P258" s="15" t="str">
        <f aca="false">IF(OR(G258="",J258=""),"",J258-G258)</f>
        <v/>
      </c>
    </row>
    <row r="259" customFormat="false" ht="15" hidden="false" customHeight="false" outlineLevel="0" collapsed="false">
      <c r="N259" s="15" t="str">
        <f aca="false">IFERROR(MATCH(K259,Lists!$A$2:$A$6,0),"")</f>
        <v/>
      </c>
      <c r="O259" s="15" t="str">
        <f aca="false">IF(OR(G259="",H259=""),"",H259-G259)</f>
        <v/>
      </c>
      <c r="P259" s="15" t="str">
        <f aca="false">IF(OR(G259="",J259=""),"",J259-G259)</f>
        <v/>
      </c>
    </row>
    <row r="260" customFormat="false" ht="15" hidden="false" customHeight="false" outlineLevel="0" collapsed="false">
      <c r="N260" s="15" t="str">
        <f aca="false">IFERROR(MATCH(K260,Lists!$A$2:$A$6,0),"")</f>
        <v/>
      </c>
      <c r="O260" s="15" t="str">
        <f aca="false">IF(OR(G260="",H260=""),"",H260-G260)</f>
        <v/>
      </c>
      <c r="P260" s="15" t="str">
        <f aca="false">IF(OR(G260="",J260=""),"",J260-G260)</f>
        <v/>
      </c>
    </row>
    <row r="261" customFormat="false" ht="15" hidden="false" customHeight="false" outlineLevel="0" collapsed="false">
      <c r="N261" s="15" t="str">
        <f aca="false">IFERROR(MATCH(K261,Lists!$A$2:$A$6,0),"")</f>
        <v/>
      </c>
      <c r="O261" s="15" t="str">
        <f aca="false">IF(OR(G261="",H261=""),"",H261-G261)</f>
        <v/>
      </c>
      <c r="P261" s="15" t="str">
        <f aca="false">IF(OR(G261="",J261=""),"",J261-G261)</f>
        <v/>
      </c>
    </row>
    <row r="262" customFormat="false" ht="15" hidden="false" customHeight="false" outlineLevel="0" collapsed="false">
      <c r="N262" s="15" t="str">
        <f aca="false">IFERROR(MATCH(K262,Lists!$A$2:$A$6,0),"")</f>
        <v/>
      </c>
      <c r="O262" s="15" t="str">
        <f aca="false">IF(OR(G262="",H262=""),"",H262-G262)</f>
        <v/>
      </c>
      <c r="P262" s="15" t="str">
        <f aca="false">IF(OR(G262="",J262=""),"",J262-G262)</f>
        <v/>
      </c>
    </row>
    <row r="263" customFormat="false" ht="15" hidden="false" customHeight="false" outlineLevel="0" collapsed="false">
      <c r="N263" s="15" t="str">
        <f aca="false">IFERROR(MATCH(K263,Lists!$A$2:$A$6,0),"")</f>
        <v/>
      </c>
      <c r="O263" s="15" t="str">
        <f aca="false">IF(OR(G263="",H263=""),"",H263-G263)</f>
        <v/>
      </c>
      <c r="P263" s="15" t="str">
        <f aca="false">IF(OR(G263="",J263=""),"",J263-G263)</f>
        <v/>
      </c>
    </row>
    <row r="264" customFormat="false" ht="15" hidden="false" customHeight="false" outlineLevel="0" collapsed="false">
      <c r="N264" s="15" t="str">
        <f aca="false">IFERROR(MATCH(K264,Lists!$A$2:$A$6,0),"")</f>
        <v/>
      </c>
      <c r="O264" s="15" t="str">
        <f aca="false">IF(OR(G264="",H264=""),"",H264-G264)</f>
        <v/>
      </c>
      <c r="P264" s="15" t="str">
        <f aca="false">IF(OR(G264="",J264=""),"",J264-G264)</f>
        <v/>
      </c>
    </row>
    <row r="265" customFormat="false" ht="15" hidden="false" customHeight="false" outlineLevel="0" collapsed="false">
      <c r="N265" s="15" t="str">
        <f aca="false">IFERROR(MATCH(K265,Lists!$A$2:$A$6,0),"")</f>
        <v/>
      </c>
      <c r="O265" s="15" t="str">
        <f aca="false">IF(OR(G265="",H265=""),"",H265-G265)</f>
        <v/>
      </c>
      <c r="P265" s="15" t="str">
        <f aca="false">IF(OR(G265="",J265=""),"",J265-G265)</f>
        <v/>
      </c>
    </row>
    <row r="266" customFormat="false" ht="15" hidden="false" customHeight="false" outlineLevel="0" collapsed="false">
      <c r="N266" s="15" t="str">
        <f aca="false">IFERROR(MATCH(K266,Lists!$A$2:$A$6,0),"")</f>
        <v/>
      </c>
      <c r="O266" s="15" t="str">
        <f aca="false">IF(OR(G266="",H266=""),"",H266-G266)</f>
        <v/>
      </c>
      <c r="P266" s="15" t="str">
        <f aca="false">IF(OR(G266="",J266=""),"",J266-G266)</f>
        <v/>
      </c>
    </row>
    <row r="267" customFormat="false" ht="15" hidden="false" customHeight="false" outlineLevel="0" collapsed="false">
      <c r="N267" s="15" t="str">
        <f aca="false">IFERROR(MATCH(K267,Lists!$A$2:$A$6,0),"")</f>
        <v/>
      </c>
      <c r="O267" s="15" t="str">
        <f aca="false">IF(OR(G267="",H267=""),"",H267-G267)</f>
        <v/>
      </c>
      <c r="P267" s="15" t="str">
        <f aca="false">IF(OR(G267="",J267=""),"",J267-G267)</f>
        <v/>
      </c>
    </row>
    <row r="268" customFormat="false" ht="15" hidden="false" customHeight="false" outlineLevel="0" collapsed="false">
      <c r="N268" s="15" t="str">
        <f aca="false">IFERROR(MATCH(K268,Lists!$A$2:$A$6,0),"")</f>
        <v/>
      </c>
      <c r="O268" s="15" t="str">
        <f aca="false">IF(OR(G268="",H268=""),"",H268-G268)</f>
        <v/>
      </c>
      <c r="P268" s="15" t="str">
        <f aca="false">IF(OR(G268="",J268=""),"",J268-G268)</f>
        <v/>
      </c>
    </row>
    <row r="269" customFormat="false" ht="15" hidden="false" customHeight="false" outlineLevel="0" collapsed="false">
      <c r="N269" s="15" t="str">
        <f aca="false">IFERROR(MATCH(K269,Lists!$A$2:$A$6,0),"")</f>
        <v/>
      </c>
      <c r="O269" s="15" t="str">
        <f aca="false">IF(OR(G269="",H269=""),"",H269-G269)</f>
        <v/>
      </c>
      <c r="P269" s="15" t="str">
        <f aca="false">IF(OR(G269="",J269=""),"",J269-G269)</f>
        <v/>
      </c>
    </row>
    <row r="270" customFormat="false" ht="15" hidden="false" customHeight="false" outlineLevel="0" collapsed="false">
      <c r="N270" s="15" t="str">
        <f aca="false">IFERROR(MATCH(K270,Lists!$A$2:$A$6,0),"")</f>
        <v/>
      </c>
      <c r="O270" s="15" t="str">
        <f aca="false">IF(OR(G270="",H270=""),"",H270-G270)</f>
        <v/>
      </c>
      <c r="P270" s="15" t="str">
        <f aca="false">IF(OR(G270="",J270=""),"",J270-G270)</f>
        <v/>
      </c>
    </row>
    <row r="271" customFormat="false" ht="15" hidden="false" customHeight="false" outlineLevel="0" collapsed="false">
      <c r="N271" s="15" t="str">
        <f aca="false">IFERROR(MATCH(K271,Lists!$A$2:$A$6,0),"")</f>
        <v/>
      </c>
      <c r="O271" s="15" t="str">
        <f aca="false">IF(OR(G271="",H271=""),"",H271-G271)</f>
        <v/>
      </c>
      <c r="P271" s="15" t="str">
        <f aca="false">IF(OR(G271="",J271=""),"",J271-G271)</f>
        <v/>
      </c>
    </row>
    <row r="272" customFormat="false" ht="15" hidden="false" customHeight="false" outlineLevel="0" collapsed="false">
      <c r="N272" s="15" t="str">
        <f aca="false">IFERROR(MATCH(K272,Lists!$A$2:$A$6,0),"")</f>
        <v/>
      </c>
      <c r="O272" s="15" t="str">
        <f aca="false">IF(OR(G272="",H272=""),"",H272-G272)</f>
        <v/>
      </c>
      <c r="P272" s="15" t="str">
        <f aca="false">IF(OR(G272="",J272=""),"",J272-G272)</f>
        <v/>
      </c>
    </row>
    <row r="273" customFormat="false" ht="15" hidden="false" customHeight="false" outlineLevel="0" collapsed="false">
      <c r="N273" s="15" t="str">
        <f aca="false">IFERROR(MATCH(K273,Lists!$A$2:$A$6,0),"")</f>
        <v/>
      </c>
      <c r="O273" s="15" t="str">
        <f aca="false">IF(OR(G273="",H273=""),"",H273-G273)</f>
        <v/>
      </c>
      <c r="P273" s="15" t="str">
        <f aca="false">IF(OR(G273="",J273=""),"",J273-G273)</f>
        <v/>
      </c>
    </row>
    <row r="274" customFormat="false" ht="15" hidden="false" customHeight="false" outlineLevel="0" collapsed="false">
      <c r="N274" s="15" t="str">
        <f aca="false">IFERROR(MATCH(K274,Lists!$A$2:$A$6,0),"")</f>
        <v/>
      </c>
      <c r="O274" s="15" t="str">
        <f aca="false">IF(OR(G274="",H274=""),"",H274-G274)</f>
        <v/>
      </c>
      <c r="P274" s="15" t="str">
        <f aca="false">IF(OR(G274="",J274=""),"",J274-G274)</f>
        <v/>
      </c>
    </row>
    <row r="275" customFormat="false" ht="15" hidden="false" customHeight="false" outlineLevel="0" collapsed="false">
      <c r="N275" s="15" t="str">
        <f aca="false">IFERROR(MATCH(K275,Lists!$A$2:$A$6,0),"")</f>
        <v/>
      </c>
      <c r="O275" s="15" t="str">
        <f aca="false">IF(OR(G275="",H275=""),"",H275-G275)</f>
        <v/>
      </c>
      <c r="P275" s="15" t="str">
        <f aca="false">IF(OR(G275="",J275=""),"",J275-G275)</f>
        <v/>
      </c>
    </row>
    <row r="276" customFormat="false" ht="15" hidden="false" customHeight="false" outlineLevel="0" collapsed="false">
      <c r="N276" s="15" t="str">
        <f aca="false">IFERROR(MATCH(K276,Lists!$A$2:$A$6,0),"")</f>
        <v/>
      </c>
      <c r="O276" s="15" t="str">
        <f aca="false">IF(OR(G276="",H276=""),"",H276-G276)</f>
        <v/>
      </c>
      <c r="P276" s="15" t="str">
        <f aca="false">IF(OR(G276="",J276=""),"",J276-G276)</f>
        <v/>
      </c>
    </row>
    <row r="277" customFormat="false" ht="15" hidden="false" customHeight="false" outlineLevel="0" collapsed="false">
      <c r="N277" s="15" t="str">
        <f aca="false">IFERROR(MATCH(K277,Lists!$A$2:$A$6,0),"")</f>
        <v/>
      </c>
      <c r="O277" s="15" t="str">
        <f aca="false">IF(OR(G277="",H277=""),"",H277-G277)</f>
        <v/>
      </c>
      <c r="P277" s="15" t="str">
        <f aca="false">IF(OR(G277="",J277=""),"",J277-G277)</f>
        <v/>
      </c>
    </row>
    <row r="278" customFormat="false" ht="15" hidden="false" customHeight="false" outlineLevel="0" collapsed="false">
      <c r="N278" s="15" t="str">
        <f aca="false">IFERROR(MATCH(K278,Lists!$A$2:$A$6,0),"")</f>
        <v/>
      </c>
      <c r="O278" s="15" t="str">
        <f aca="false">IF(OR(G278="",H278=""),"",H278-G278)</f>
        <v/>
      </c>
      <c r="P278" s="15" t="str">
        <f aca="false">IF(OR(G278="",J278=""),"",J278-G278)</f>
        <v/>
      </c>
    </row>
    <row r="279" customFormat="false" ht="15" hidden="false" customHeight="false" outlineLevel="0" collapsed="false">
      <c r="N279" s="15" t="str">
        <f aca="false">IFERROR(MATCH(K279,Lists!$A$2:$A$6,0),"")</f>
        <v/>
      </c>
      <c r="O279" s="15" t="str">
        <f aca="false">IF(OR(G279="",H279=""),"",H279-G279)</f>
        <v/>
      </c>
      <c r="P279" s="15" t="str">
        <f aca="false">IF(OR(G279="",J279=""),"",J279-G279)</f>
        <v/>
      </c>
    </row>
    <row r="280" customFormat="false" ht="15" hidden="false" customHeight="false" outlineLevel="0" collapsed="false">
      <c r="N280" s="15" t="str">
        <f aca="false">IFERROR(MATCH(K280,Lists!$A$2:$A$6,0),"")</f>
        <v/>
      </c>
      <c r="O280" s="15" t="str">
        <f aca="false">IF(OR(G280="",H280=""),"",H280-G280)</f>
        <v/>
      </c>
      <c r="P280" s="15" t="str">
        <f aca="false">IF(OR(G280="",J280=""),"",J280-G280)</f>
        <v/>
      </c>
    </row>
    <row r="281" customFormat="false" ht="15" hidden="false" customHeight="false" outlineLevel="0" collapsed="false">
      <c r="N281" s="15" t="str">
        <f aca="false">IFERROR(MATCH(K281,Lists!$A$2:$A$6,0),"")</f>
        <v/>
      </c>
      <c r="O281" s="15" t="str">
        <f aca="false">IF(OR(G281="",H281=""),"",H281-G281)</f>
        <v/>
      </c>
      <c r="P281" s="15" t="str">
        <f aca="false">IF(OR(G281="",J281=""),"",J281-G281)</f>
        <v/>
      </c>
    </row>
    <row r="282" customFormat="false" ht="15" hidden="false" customHeight="false" outlineLevel="0" collapsed="false">
      <c r="N282" s="15" t="str">
        <f aca="false">IFERROR(MATCH(K282,Lists!$A$2:$A$6,0),"")</f>
        <v/>
      </c>
      <c r="O282" s="15" t="str">
        <f aca="false">IF(OR(G282="",H282=""),"",H282-G282)</f>
        <v/>
      </c>
      <c r="P282" s="15" t="str">
        <f aca="false">IF(OR(G282="",J282=""),"",J282-G282)</f>
        <v/>
      </c>
    </row>
    <row r="283" customFormat="false" ht="15" hidden="false" customHeight="false" outlineLevel="0" collapsed="false">
      <c r="N283" s="15" t="str">
        <f aca="false">IFERROR(MATCH(K283,Lists!$A$2:$A$6,0),"")</f>
        <v/>
      </c>
      <c r="O283" s="15" t="str">
        <f aca="false">IF(OR(G283="",H283=""),"",H283-G283)</f>
        <v/>
      </c>
      <c r="P283" s="15" t="str">
        <f aca="false">IF(OR(G283="",J283=""),"",J283-G283)</f>
        <v/>
      </c>
    </row>
    <row r="284" customFormat="false" ht="15" hidden="false" customHeight="false" outlineLevel="0" collapsed="false">
      <c r="N284" s="15" t="str">
        <f aca="false">IFERROR(MATCH(K284,Lists!$A$2:$A$6,0),"")</f>
        <v/>
      </c>
      <c r="O284" s="15" t="str">
        <f aca="false">IF(OR(G284="",H284=""),"",H284-G284)</f>
        <v/>
      </c>
      <c r="P284" s="15" t="str">
        <f aca="false">IF(OR(G284="",J284=""),"",J284-G284)</f>
        <v/>
      </c>
    </row>
    <row r="285" customFormat="false" ht="15" hidden="false" customHeight="false" outlineLevel="0" collapsed="false">
      <c r="N285" s="15" t="str">
        <f aca="false">IFERROR(MATCH(K285,Lists!$A$2:$A$6,0),"")</f>
        <v/>
      </c>
      <c r="O285" s="15" t="str">
        <f aca="false">IF(OR(G285="",H285=""),"",H285-G285)</f>
        <v/>
      </c>
      <c r="P285" s="15" t="str">
        <f aca="false">IF(OR(G285="",J285=""),"",J285-G285)</f>
        <v/>
      </c>
    </row>
    <row r="286" customFormat="false" ht="15" hidden="false" customHeight="false" outlineLevel="0" collapsed="false">
      <c r="N286" s="15" t="str">
        <f aca="false">IFERROR(MATCH(K286,Lists!$A$2:$A$6,0),"")</f>
        <v/>
      </c>
      <c r="O286" s="15" t="str">
        <f aca="false">IF(OR(G286="",H286=""),"",H286-G286)</f>
        <v/>
      </c>
      <c r="P286" s="15" t="str">
        <f aca="false">IF(OR(G286="",J286=""),"",J286-G286)</f>
        <v/>
      </c>
    </row>
    <row r="287" customFormat="false" ht="15" hidden="false" customHeight="false" outlineLevel="0" collapsed="false">
      <c r="N287" s="15" t="str">
        <f aca="false">IFERROR(MATCH(K287,Lists!$A$2:$A$6,0),"")</f>
        <v/>
      </c>
      <c r="O287" s="15" t="str">
        <f aca="false">IF(OR(G287="",H287=""),"",H287-G287)</f>
        <v/>
      </c>
      <c r="P287" s="15" t="str">
        <f aca="false">IF(OR(G287="",J287=""),"",J287-G287)</f>
        <v/>
      </c>
    </row>
    <row r="288" customFormat="false" ht="15" hidden="false" customHeight="false" outlineLevel="0" collapsed="false">
      <c r="N288" s="15" t="str">
        <f aca="false">IFERROR(MATCH(K288,Lists!$A$2:$A$6,0),"")</f>
        <v/>
      </c>
      <c r="O288" s="15" t="str">
        <f aca="false">IF(OR(G288="",H288=""),"",H288-G288)</f>
        <v/>
      </c>
      <c r="P288" s="15" t="str">
        <f aca="false">IF(OR(G288="",J288=""),"",J288-G288)</f>
        <v/>
      </c>
    </row>
    <row r="289" customFormat="false" ht="15" hidden="false" customHeight="false" outlineLevel="0" collapsed="false">
      <c r="N289" s="15" t="str">
        <f aca="false">IFERROR(MATCH(K289,Lists!$A$2:$A$6,0),"")</f>
        <v/>
      </c>
      <c r="O289" s="15" t="str">
        <f aca="false">IF(OR(G289="",H289=""),"",H289-G289)</f>
        <v/>
      </c>
      <c r="P289" s="15" t="str">
        <f aca="false">IF(OR(G289="",J289=""),"",J289-G289)</f>
        <v/>
      </c>
    </row>
    <row r="290" customFormat="false" ht="15" hidden="false" customHeight="false" outlineLevel="0" collapsed="false">
      <c r="N290" s="15" t="str">
        <f aca="false">IFERROR(MATCH(K290,Lists!$A$2:$A$6,0),"")</f>
        <v/>
      </c>
      <c r="O290" s="15" t="str">
        <f aca="false">IF(OR(G290="",H290=""),"",H290-G290)</f>
        <v/>
      </c>
      <c r="P290" s="15" t="str">
        <f aca="false">IF(OR(G290="",J290=""),"",J290-G290)</f>
        <v/>
      </c>
    </row>
    <row r="291" customFormat="false" ht="15" hidden="false" customHeight="false" outlineLevel="0" collapsed="false">
      <c r="N291" s="15" t="str">
        <f aca="false">IFERROR(MATCH(K291,Lists!$A$2:$A$6,0),"")</f>
        <v/>
      </c>
      <c r="O291" s="15" t="str">
        <f aca="false">IF(OR(G291="",H291=""),"",H291-G291)</f>
        <v/>
      </c>
      <c r="P291" s="15" t="str">
        <f aca="false">IF(OR(G291="",J291=""),"",J291-G291)</f>
        <v/>
      </c>
    </row>
    <row r="292" customFormat="false" ht="15" hidden="false" customHeight="false" outlineLevel="0" collapsed="false">
      <c r="N292" s="15" t="str">
        <f aca="false">IFERROR(MATCH(K292,Lists!$A$2:$A$6,0),"")</f>
        <v/>
      </c>
      <c r="O292" s="15" t="str">
        <f aca="false">IF(OR(G292="",H292=""),"",H292-G292)</f>
        <v/>
      </c>
      <c r="P292" s="15" t="str">
        <f aca="false">IF(OR(G292="",J292=""),"",J292-G292)</f>
        <v/>
      </c>
    </row>
    <row r="293" customFormat="false" ht="15" hidden="false" customHeight="false" outlineLevel="0" collapsed="false">
      <c r="N293" s="15" t="str">
        <f aca="false">IFERROR(MATCH(K293,Lists!$A$2:$A$6,0),"")</f>
        <v/>
      </c>
      <c r="O293" s="15" t="str">
        <f aca="false">IF(OR(G293="",H293=""),"",H293-G293)</f>
        <v/>
      </c>
      <c r="P293" s="15" t="str">
        <f aca="false">IF(OR(G293="",J293=""),"",J293-G293)</f>
        <v/>
      </c>
    </row>
    <row r="294" customFormat="false" ht="15" hidden="false" customHeight="false" outlineLevel="0" collapsed="false">
      <c r="N294" s="15" t="str">
        <f aca="false">IFERROR(MATCH(K294,Lists!$A$2:$A$6,0),"")</f>
        <v/>
      </c>
      <c r="O294" s="15" t="str">
        <f aca="false">IF(OR(G294="",H294=""),"",H294-G294)</f>
        <v/>
      </c>
      <c r="P294" s="15" t="str">
        <f aca="false">IF(OR(G294="",J294=""),"",J294-G294)</f>
        <v/>
      </c>
    </row>
    <row r="295" customFormat="false" ht="15" hidden="false" customHeight="false" outlineLevel="0" collapsed="false">
      <c r="N295" s="15" t="str">
        <f aca="false">IFERROR(MATCH(K295,Lists!$A$2:$A$6,0),"")</f>
        <v/>
      </c>
      <c r="O295" s="15" t="str">
        <f aca="false">IF(OR(G295="",H295=""),"",H295-G295)</f>
        <v/>
      </c>
      <c r="P295" s="15" t="str">
        <f aca="false">IF(OR(G295="",J295=""),"",J295-G295)</f>
        <v/>
      </c>
    </row>
    <row r="296" customFormat="false" ht="15" hidden="false" customHeight="false" outlineLevel="0" collapsed="false">
      <c r="N296" s="15" t="str">
        <f aca="false">IFERROR(MATCH(K296,Lists!$A$2:$A$6,0),"")</f>
        <v/>
      </c>
      <c r="O296" s="15" t="str">
        <f aca="false">IF(OR(G296="",H296=""),"",H296-G296)</f>
        <v/>
      </c>
      <c r="P296" s="15" t="str">
        <f aca="false">IF(OR(G296="",J296=""),"",J296-G296)</f>
        <v/>
      </c>
    </row>
    <row r="297" customFormat="false" ht="15" hidden="false" customHeight="false" outlineLevel="0" collapsed="false">
      <c r="N297" s="15" t="str">
        <f aca="false">IFERROR(MATCH(K297,Lists!$A$2:$A$6,0),"")</f>
        <v/>
      </c>
      <c r="O297" s="15" t="str">
        <f aca="false">IF(OR(G297="",H297=""),"",H297-G297)</f>
        <v/>
      </c>
      <c r="P297" s="15" t="str">
        <f aca="false">IF(OR(G297="",J297=""),"",J297-G297)</f>
        <v/>
      </c>
    </row>
    <row r="298" customFormat="false" ht="15" hidden="false" customHeight="false" outlineLevel="0" collapsed="false">
      <c r="N298" s="15" t="str">
        <f aca="false">IFERROR(MATCH(K298,Lists!$A$2:$A$6,0),"")</f>
        <v/>
      </c>
      <c r="O298" s="15" t="str">
        <f aca="false">IF(OR(G298="",H298=""),"",H298-G298)</f>
        <v/>
      </c>
      <c r="P298" s="15" t="str">
        <f aca="false">IF(OR(G298="",J298=""),"",J298-G298)</f>
        <v/>
      </c>
    </row>
    <row r="299" customFormat="false" ht="15" hidden="false" customHeight="false" outlineLevel="0" collapsed="false">
      <c r="N299" s="15" t="str">
        <f aca="false">IFERROR(MATCH(K299,Lists!$A$2:$A$6,0),"")</f>
        <v/>
      </c>
      <c r="O299" s="15" t="str">
        <f aca="false">IF(OR(G299="",H299=""),"",H299-G299)</f>
        <v/>
      </c>
      <c r="P299" s="15" t="str">
        <f aca="false">IF(OR(G299="",J299=""),"",J299-G299)</f>
        <v/>
      </c>
    </row>
    <row r="300" customFormat="false" ht="15" hidden="false" customHeight="false" outlineLevel="0" collapsed="false">
      <c r="N300" s="15" t="str">
        <f aca="false">IFERROR(MATCH(K300,Lists!$A$2:$A$6,0),"")</f>
        <v/>
      </c>
      <c r="O300" s="15" t="str">
        <f aca="false">IF(OR(G300="",H300=""),"",H300-G300)</f>
        <v/>
      </c>
      <c r="P300" s="15" t="str">
        <f aca="false">IF(OR(G300="",J300=""),"",J300-G300)</f>
        <v/>
      </c>
    </row>
    <row r="301" customFormat="false" ht="15" hidden="false" customHeight="false" outlineLevel="0" collapsed="false">
      <c r="N301" s="15" t="str">
        <f aca="false">IFERROR(MATCH(K301,Lists!$A$2:$A$6,0),"")</f>
        <v/>
      </c>
      <c r="O301" s="15" t="str">
        <f aca="false">IF(OR(G301="",H301=""),"",H301-G301)</f>
        <v/>
      </c>
      <c r="P301" s="15" t="str">
        <f aca="false">IF(OR(G301="",J301=""),"",J301-G301)</f>
        <v/>
      </c>
    </row>
    <row r="302" customFormat="false" ht="15" hidden="false" customHeight="false" outlineLevel="0" collapsed="false">
      <c r="N302" s="15" t="str">
        <f aca="false">IFERROR(MATCH(K302,Lists!$A$2:$A$6,0),"")</f>
        <v/>
      </c>
      <c r="O302" s="15" t="str">
        <f aca="false">IF(OR(G302="",H302=""),"",H302-G302)</f>
        <v/>
      </c>
      <c r="P302" s="15" t="str">
        <f aca="false">IF(OR(G302="",J302=""),"",J302-G302)</f>
        <v/>
      </c>
    </row>
    <row r="303" customFormat="false" ht="15" hidden="false" customHeight="false" outlineLevel="0" collapsed="false">
      <c r="N303" s="15" t="str">
        <f aca="false">IFERROR(MATCH(K303,Lists!$A$2:$A$6,0),"")</f>
        <v/>
      </c>
      <c r="O303" s="15" t="str">
        <f aca="false">IF(OR(G303="",H303=""),"",H303-G303)</f>
        <v/>
      </c>
      <c r="P303" s="15" t="str">
        <f aca="false">IF(OR(G303="",J303=""),"",J303-G303)</f>
        <v/>
      </c>
    </row>
    <row r="304" customFormat="false" ht="15" hidden="false" customHeight="false" outlineLevel="0" collapsed="false">
      <c r="N304" s="15" t="str">
        <f aca="false">IFERROR(MATCH(K304,Lists!$A$2:$A$6,0),"")</f>
        <v/>
      </c>
      <c r="O304" s="15" t="str">
        <f aca="false">IF(OR(G304="",H304=""),"",H304-G304)</f>
        <v/>
      </c>
      <c r="P304" s="15" t="str">
        <f aca="false">IF(OR(G304="",J304=""),"",J304-G304)</f>
        <v/>
      </c>
    </row>
    <row r="305" customFormat="false" ht="15" hidden="false" customHeight="false" outlineLevel="0" collapsed="false">
      <c r="N305" s="15" t="str">
        <f aca="false">IFERROR(MATCH(K305,Lists!$A$2:$A$6,0),"")</f>
        <v/>
      </c>
      <c r="O305" s="15" t="str">
        <f aca="false">IF(OR(G305="",H305=""),"",H305-G305)</f>
        <v/>
      </c>
      <c r="P305" s="15" t="str">
        <f aca="false">IF(OR(G305="",J305=""),"",J305-G305)</f>
        <v/>
      </c>
    </row>
    <row r="306" customFormat="false" ht="15" hidden="false" customHeight="false" outlineLevel="0" collapsed="false">
      <c r="N306" s="15" t="str">
        <f aca="false">IFERROR(MATCH(K306,Lists!$A$2:$A$6,0),"")</f>
        <v/>
      </c>
      <c r="O306" s="15" t="str">
        <f aca="false">IF(OR(G306="",H306=""),"",H306-G306)</f>
        <v/>
      </c>
      <c r="P306" s="15" t="str">
        <f aca="false">IF(OR(G306="",J306=""),"",J306-G306)</f>
        <v/>
      </c>
    </row>
    <row r="307" customFormat="false" ht="15" hidden="false" customHeight="false" outlineLevel="0" collapsed="false">
      <c r="N307" s="15" t="str">
        <f aca="false">IFERROR(MATCH(K307,Lists!$A$2:$A$6,0),"")</f>
        <v/>
      </c>
      <c r="O307" s="15" t="str">
        <f aca="false">IF(OR(G307="",H307=""),"",H307-G307)</f>
        <v/>
      </c>
      <c r="P307" s="15" t="str">
        <f aca="false">IF(OR(G307="",J307=""),"",J307-G307)</f>
        <v/>
      </c>
    </row>
    <row r="308" customFormat="false" ht="15" hidden="false" customHeight="false" outlineLevel="0" collapsed="false">
      <c r="N308" s="15" t="str">
        <f aca="false">IFERROR(MATCH(K308,Lists!$A$2:$A$6,0),"")</f>
        <v/>
      </c>
      <c r="O308" s="15" t="str">
        <f aca="false">IF(OR(G308="",H308=""),"",H308-G308)</f>
        <v/>
      </c>
      <c r="P308" s="15" t="str">
        <f aca="false">IF(OR(G308="",J308=""),"",J308-G308)</f>
        <v/>
      </c>
    </row>
    <row r="309" customFormat="false" ht="15" hidden="false" customHeight="false" outlineLevel="0" collapsed="false">
      <c r="N309" s="15" t="str">
        <f aca="false">IFERROR(MATCH(K309,Lists!$A$2:$A$6,0),"")</f>
        <v/>
      </c>
      <c r="O309" s="15" t="str">
        <f aca="false">IF(OR(G309="",H309=""),"",H309-G309)</f>
        <v/>
      </c>
      <c r="P309" s="15" t="str">
        <f aca="false">IF(OR(G309="",J309=""),"",J309-G309)</f>
        <v/>
      </c>
    </row>
    <row r="310" customFormat="false" ht="15" hidden="false" customHeight="false" outlineLevel="0" collapsed="false">
      <c r="N310" s="15" t="str">
        <f aca="false">IFERROR(MATCH(K310,Lists!$A$2:$A$6,0),"")</f>
        <v/>
      </c>
      <c r="O310" s="15" t="str">
        <f aca="false">IF(OR(G310="",H310=""),"",H310-G310)</f>
        <v/>
      </c>
      <c r="P310" s="15" t="str">
        <f aca="false">IF(OR(G310="",J310=""),"",J310-G310)</f>
        <v/>
      </c>
    </row>
    <row r="311" customFormat="false" ht="15" hidden="false" customHeight="false" outlineLevel="0" collapsed="false">
      <c r="N311" s="15" t="str">
        <f aca="false">IFERROR(MATCH(K311,Lists!$A$2:$A$6,0),"")</f>
        <v/>
      </c>
      <c r="O311" s="15" t="str">
        <f aca="false">IF(OR(G311="",H311=""),"",H311-G311)</f>
        <v/>
      </c>
      <c r="P311" s="15" t="str">
        <f aca="false">IF(OR(G311="",J311=""),"",J311-G311)</f>
        <v/>
      </c>
    </row>
    <row r="312" customFormat="false" ht="15" hidden="false" customHeight="false" outlineLevel="0" collapsed="false">
      <c r="N312" s="15" t="str">
        <f aca="false">IFERROR(MATCH(K312,Lists!$A$2:$A$6,0),"")</f>
        <v/>
      </c>
      <c r="O312" s="15" t="str">
        <f aca="false">IF(OR(G312="",H312=""),"",H312-G312)</f>
        <v/>
      </c>
      <c r="P312" s="15" t="str">
        <f aca="false">IF(OR(G312="",J312=""),"",J312-G312)</f>
        <v/>
      </c>
    </row>
    <row r="313" customFormat="false" ht="15" hidden="false" customHeight="false" outlineLevel="0" collapsed="false">
      <c r="N313" s="15" t="str">
        <f aca="false">IFERROR(MATCH(K313,Lists!$A$2:$A$6,0),"")</f>
        <v/>
      </c>
      <c r="O313" s="15" t="str">
        <f aca="false">IF(OR(G313="",H313=""),"",H313-G313)</f>
        <v/>
      </c>
      <c r="P313" s="15" t="str">
        <f aca="false">IF(OR(G313="",J313=""),"",J313-G313)</f>
        <v/>
      </c>
    </row>
    <row r="314" customFormat="false" ht="15" hidden="false" customHeight="false" outlineLevel="0" collapsed="false">
      <c r="N314" s="15" t="str">
        <f aca="false">IFERROR(MATCH(K314,Lists!$A$2:$A$6,0),"")</f>
        <v/>
      </c>
      <c r="O314" s="15" t="str">
        <f aca="false">IF(OR(G314="",H314=""),"",H314-G314)</f>
        <v/>
      </c>
      <c r="P314" s="15" t="str">
        <f aca="false">IF(OR(G314="",J314=""),"",J314-G314)</f>
        <v/>
      </c>
    </row>
    <row r="315" customFormat="false" ht="15" hidden="false" customHeight="false" outlineLevel="0" collapsed="false">
      <c r="N315" s="15" t="str">
        <f aca="false">IFERROR(MATCH(K315,Lists!$A$2:$A$6,0),"")</f>
        <v/>
      </c>
      <c r="O315" s="15" t="str">
        <f aca="false">IF(OR(G315="",H315=""),"",H315-G315)</f>
        <v/>
      </c>
      <c r="P315" s="15" t="str">
        <f aca="false">IF(OR(G315="",J315=""),"",J315-G315)</f>
        <v/>
      </c>
    </row>
    <row r="316" customFormat="false" ht="15" hidden="false" customHeight="false" outlineLevel="0" collapsed="false">
      <c r="N316" s="15" t="str">
        <f aca="false">IFERROR(MATCH(K316,Lists!$A$2:$A$6,0),"")</f>
        <v/>
      </c>
      <c r="O316" s="15" t="str">
        <f aca="false">IF(OR(G316="",H316=""),"",H316-G316)</f>
        <v/>
      </c>
      <c r="P316" s="15" t="str">
        <f aca="false">IF(OR(G316="",J316=""),"",J316-G316)</f>
        <v/>
      </c>
    </row>
    <row r="317" customFormat="false" ht="15" hidden="false" customHeight="false" outlineLevel="0" collapsed="false">
      <c r="N317" s="15" t="str">
        <f aca="false">IFERROR(MATCH(K317,Lists!$A$2:$A$6,0),"")</f>
        <v/>
      </c>
      <c r="O317" s="15" t="str">
        <f aca="false">IF(OR(G317="",H317=""),"",H317-G317)</f>
        <v/>
      </c>
      <c r="P317" s="15" t="str">
        <f aca="false">IF(OR(G317="",J317=""),"",J317-G317)</f>
        <v/>
      </c>
    </row>
    <row r="318" customFormat="false" ht="15" hidden="false" customHeight="false" outlineLevel="0" collapsed="false">
      <c r="N318" s="15" t="str">
        <f aca="false">IFERROR(MATCH(K318,Lists!$A$2:$A$6,0),"")</f>
        <v/>
      </c>
      <c r="O318" s="15" t="str">
        <f aca="false">IF(OR(G318="",H318=""),"",H318-G318)</f>
        <v/>
      </c>
      <c r="P318" s="15" t="str">
        <f aca="false">IF(OR(G318="",J318=""),"",J318-G318)</f>
        <v/>
      </c>
    </row>
    <row r="319" customFormat="false" ht="15" hidden="false" customHeight="false" outlineLevel="0" collapsed="false">
      <c r="N319" s="15" t="str">
        <f aca="false">IFERROR(MATCH(K319,Lists!$A$2:$A$6,0),"")</f>
        <v/>
      </c>
      <c r="O319" s="15" t="str">
        <f aca="false">IF(OR(G319="",H319=""),"",H319-G319)</f>
        <v/>
      </c>
      <c r="P319" s="15" t="str">
        <f aca="false">IF(OR(G319="",J319=""),"",J319-G319)</f>
        <v/>
      </c>
    </row>
    <row r="320" customFormat="false" ht="15" hidden="false" customHeight="false" outlineLevel="0" collapsed="false">
      <c r="N320" s="15" t="str">
        <f aca="false">IFERROR(MATCH(K320,Lists!$A$2:$A$6,0),"")</f>
        <v/>
      </c>
      <c r="O320" s="15" t="str">
        <f aca="false">IF(OR(G320="",H320=""),"",H320-G320)</f>
        <v/>
      </c>
      <c r="P320" s="15" t="str">
        <f aca="false">IF(OR(G320="",J320=""),"",J320-G320)</f>
        <v/>
      </c>
    </row>
    <row r="321" customFormat="false" ht="15" hidden="false" customHeight="false" outlineLevel="0" collapsed="false">
      <c r="N321" s="15" t="str">
        <f aca="false">IFERROR(MATCH(K321,Lists!$A$2:$A$6,0),"")</f>
        <v/>
      </c>
      <c r="O321" s="15" t="str">
        <f aca="false">IF(OR(G321="",H321=""),"",H321-G321)</f>
        <v/>
      </c>
      <c r="P321" s="15" t="str">
        <f aca="false">IF(OR(G321="",J321=""),"",J321-G321)</f>
        <v/>
      </c>
    </row>
    <row r="322" customFormat="false" ht="15" hidden="false" customHeight="false" outlineLevel="0" collapsed="false">
      <c r="N322" s="15" t="str">
        <f aca="false">IFERROR(MATCH(K322,Lists!$A$2:$A$6,0),"")</f>
        <v/>
      </c>
      <c r="O322" s="15" t="str">
        <f aca="false">IF(OR(G322="",H322=""),"",H322-G322)</f>
        <v/>
      </c>
      <c r="P322" s="15" t="str">
        <f aca="false">IF(OR(G322="",J322=""),"",J322-G322)</f>
        <v/>
      </c>
    </row>
    <row r="323" customFormat="false" ht="15" hidden="false" customHeight="false" outlineLevel="0" collapsed="false">
      <c r="N323" s="15" t="str">
        <f aca="false">IFERROR(MATCH(K323,Lists!$A$2:$A$6,0),"")</f>
        <v/>
      </c>
      <c r="O323" s="15" t="str">
        <f aca="false">IF(OR(G323="",H323=""),"",H323-G323)</f>
        <v/>
      </c>
      <c r="P323" s="15" t="str">
        <f aca="false">IF(OR(G323="",J323=""),"",J323-G323)</f>
        <v/>
      </c>
    </row>
    <row r="324" customFormat="false" ht="15" hidden="false" customHeight="false" outlineLevel="0" collapsed="false">
      <c r="N324" s="15" t="str">
        <f aca="false">IFERROR(MATCH(K324,Lists!$A$2:$A$6,0),"")</f>
        <v/>
      </c>
      <c r="O324" s="15" t="str">
        <f aca="false">IF(OR(G324="",H324=""),"",H324-G324)</f>
        <v/>
      </c>
      <c r="P324" s="15" t="str">
        <f aca="false">IF(OR(G324="",J324=""),"",J324-G324)</f>
        <v/>
      </c>
    </row>
    <row r="325" customFormat="false" ht="15" hidden="false" customHeight="false" outlineLevel="0" collapsed="false">
      <c r="N325" s="15" t="str">
        <f aca="false">IFERROR(MATCH(K325,Lists!$A$2:$A$6,0),"")</f>
        <v/>
      </c>
      <c r="O325" s="15" t="str">
        <f aca="false">IF(OR(G325="",H325=""),"",H325-G325)</f>
        <v/>
      </c>
      <c r="P325" s="15" t="str">
        <f aca="false">IF(OR(G325="",J325=""),"",J325-G325)</f>
        <v/>
      </c>
    </row>
    <row r="326" customFormat="false" ht="15" hidden="false" customHeight="false" outlineLevel="0" collapsed="false">
      <c r="N326" s="15" t="str">
        <f aca="false">IFERROR(MATCH(K326,Lists!$A$2:$A$6,0),"")</f>
        <v/>
      </c>
      <c r="O326" s="15" t="str">
        <f aca="false">IF(OR(G326="",H326=""),"",H326-G326)</f>
        <v/>
      </c>
      <c r="P326" s="15" t="str">
        <f aca="false">IF(OR(G326="",J326=""),"",J326-G326)</f>
        <v/>
      </c>
    </row>
    <row r="327" customFormat="false" ht="15" hidden="false" customHeight="false" outlineLevel="0" collapsed="false">
      <c r="N327" s="15" t="str">
        <f aca="false">IFERROR(MATCH(K327,Lists!$A$2:$A$6,0),"")</f>
        <v/>
      </c>
      <c r="O327" s="15" t="str">
        <f aca="false">IF(OR(G327="",H327=""),"",H327-G327)</f>
        <v/>
      </c>
      <c r="P327" s="15" t="str">
        <f aca="false">IF(OR(G327="",J327=""),"",J327-G327)</f>
        <v/>
      </c>
    </row>
    <row r="328" customFormat="false" ht="15" hidden="false" customHeight="false" outlineLevel="0" collapsed="false">
      <c r="N328" s="15" t="str">
        <f aca="false">IFERROR(MATCH(K328,Lists!$A$2:$A$6,0),"")</f>
        <v/>
      </c>
      <c r="O328" s="15" t="str">
        <f aca="false">IF(OR(G328="",H328=""),"",H328-G328)</f>
        <v/>
      </c>
      <c r="P328" s="15" t="str">
        <f aca="false">IF(OR(G328="",J328=""),"",J328-G328)</f>
        <v/>
      </c>
    </row>
    <row r="329" customFormat="false" ht="15" hidden="false" customHeight="false" outlineLevel="0" collapsed="false">
      <c r="N329" s="15" t="str">
        <f aca="false">IFERROR(MATCH(K329,Lists!$A$2:$A$6,0),"")</f>
        <v/>
      </c>
      <c r="O329" s="15" t="str">
        <f aca="false">IF(OR(G329="",H329=""),"",H329-G329)</f>
        <v/>
      </c>
      <c r="P329" s="15" t="str">
        <f aca="false">IF(OR(G329="",J329=""),"",J329-G329)</f>
        <v/>
      </c>
    </row>
    <row r="330" customFormat="false" ht="15" hidden="false" customHeight="false" outlineLevel="0" collapsed="false">
      <c r="N330" s="15" t="str">
        <f aca="false">IFERROR(MATCH(K330,Lists!$A$2:$A$6,0),"")</f>
        <v/>
      </c>
      <c r="O330" s="15" t="str">
        <f aca="false">IF(OR(G330="",H330=""),"",H330-G330)</f>
        <v/>
      </c>
      <c r="P330" s="15" t="str">
        <f aca="false">IF(OR(G330="",J330=""),"",J330-G330)</f>
        <v/>
      </c>
    </row>
    <row r="331" customFormat="false" ht="15" hidden="false" customHeight="false" outlineLevel="0" collapsed="false">
      <c r="N331" s="15" t="str">
        <f aca="false">IFERROR(MATCH(K331,Lists!$A$2:$A$6,0),"")</f>
        <v/>
      </c>
      <c r="O331" s="15" t="str">
        <f aca="false">IF(OR(G331="",H331=""),"",H331-G331)</f>
        <v/>
      </c>
      <c r="P331" s="15" t="str">
        <f aca="false">IF(OR(G331="",J331=""),"",J331-G331)</f>
        <v/>
      </c>
    </row>
    <row r="332" customFormat="false" ht="15" hidden="false" customHeight="false" outlineLevel="0" collapsed="false">
      <c r="N332" s="15" t="str">
        <f aca="false">IFERROR(MATCH(K332,Lists!$A$2:$A$6,0),"")</f>
        <v/>
      </c>
      <c r="O332" s="15" t="str">
        <f aca="false">IF(OR(G332="",H332=""),"",H332-G332)</f>
        <v/>
      </c>
      <c r="P332" s="15" t="str">
        <f aca="false">IF(OR(G332="",J332=""),"",J332-G332)</f>
        <v/>
      </c>
    </row>
    <row r="333" customFormat="false" ht="15" hidden="false" customHeight="false" outlineLevel="0" collapsed="false">
      <c r="N333" s="15" t="str">
        <f aca="false">IFERROR(MATCH(K333,Lists!$A$2:$A$6,0),"")</f>
        <v/>
      </c>
      <c r="O333" s="15" t="str">
        <f aca="false">IF(OR(G333="",H333=""),"",H333-G333)</f>
        <v/>
      </c>
      <c r="P333" s="15" t="str">
        <f aca="false">IF(OR(G333="",J333=""),"",J333-G333)</f>
        <v/>
      </c>
    </row>
    <row r="334" customFormat="false" ht="15" hidden="false" customHeight="false" outlineLevel="0" collapsed="false">
      <c r="N334" s="15" t="str">
        <f aca="false">IFERROR(MATCH(K334,Lists!$A$2:$A$6,0),"")</f>
        <v/>
      </c>
      <c r="O334" s="15" t="str">
        <f aca="false">IF(OR(G334="",H334=""),"",H334-G334)</f>
        <v/>
      </c>
      <c r="P334" s="15" t="str">
        <f aca="false">IF(OR(G334="",J334=""),"",J334-G334)</f>
        <v/>
      </c>
    </row>
    <row r="335" customFormat="false" ht="15" hidden="false" customHeight="false" outlineLevel="0" collapsed="false">
      <c r="N335" s="15" t="str">
        <f aca="false">IFERROR(MATCH(K335,Lists!$A$2:$A$6,0),"")</f>
        <v/>
      </c>
      <c r="O335" s="15" t="str">
        <f aca="false">IF(OR(G335="",H335=""),"",H335-G335)</f>
        <v/>
      </c>
      <c r="P335" s="15" t="str">
        <f aca="false">IF(OR(G335="",J335=""),"",J335-G335)</f>
        <v/>
      </c>
    </row>
    <row r="336" customFormat="false" ht="15" hidden="false" customHeight="false" outlineLevel="0" collapsed="false">
      <c r="N336" s="15" t="str">
        <f aca="false">IFERROR(MATCH(K336,Lists!$A$2:$A$6,0),"")</f>
        <v/>
      </c>
      <c r="O336" s="15" t="str">
        <f aca="false">IF(OR(G336="",H336=""),"",H336-G336)</f>
        <v/>
      </c>
      <c r="P336" s="15" t="str">
        <f aca="false">IF(OR(G336="",J336=""),"",J336-G336)</f>
        <v/>
      </c>
    </row>
    <row r="337" customFormat="false" ht="15" hidden="false" customHeight="false" outlineLevel="0" collapsed="false">
      <c r="N337" s="15" t="str">
        <f aca="false">IFERROR(MATCH(K337,Lists!$A$2:$A$6,0),"")</f>
        <v/>
      </c>
      <c r="O337" s="15" t="str">
        <f aca="false">IF(OR(G337="",H337=""),"",H337-G337)</f>
        <v/>
      </c>
      <c r="P337" s="15" t="str">
        <f aca="false">IF(OR(G337="",J337=""),"",J337-G337)</f>
        <v/>
      </c>
    </row>
    <row r="338" customFormat="false" ht="15" hidden="false" customHeight="false" outlineLevel="0" collapsed="false">
      <c r="N338" s="15" t="str">
        <f aca="false">IFERROR(MATCH(K338,Lists!$A$2:$A$6,0),"")</f>
        <v/>
      </c>
      <c r="O338" s="15" t="str">
        <f aca="false">IF(OR(G338="",H338=""),"",H338-G338)</f>
        <v/>
      </c>
      <c r="P338" s="15" t="str">
        <f aca="false">IF(OR(G338="",J338=""),"",J338-G338)</f>
        <v/>
      </c>
    </row>
    <row r="339" customFormat="false" ht="15" hidden="false" customHeight="false" outlineLevel="0" collapsed="false">
      <c r="N339" s="15" t="str">
        <f aca="false">IFERROR(MATCH(K339,Lists!$A$2:$A$6,0),"")</f>
        <v/>
      </c>
      <c r="O339" s="15" t="str">
        <f aca="false">IF(OR(G339="",H339=""),"",H339-G339)</f>
        <v/>
      </c>
      <c r="P339" s="15" t="str">
        <f aca="false">IF(OR(G339="",J339=""),"",J339-G339)</f>
        <v/>
      </c>
    </row>
    <row r="340" customFormat="false" ht="15" hidden="false" customHeight="false" outlineLevel="0" collapsed="false">
      <c r="N340" s="15" t="str">
        <f aca="false">IFERROR(MATCH(K340,Lists!$A$2:$A$6,0),"")</f>
        <v/>
      </c>
      <c r="O340" s="15" t="str">
        <f aca="false">IF(OR(G340="",H340=""),"",H340-G340)</f>
        <v/>
      </c>
      <c r="P340" s="15" t="str">
        <f aca="false">IF(OR(G340="",J340=""),"",J340-G340)</f>
        <v/>
      </c>
    </row>
    <row r="341" customFormat="false" ht="15" hidden="false" customHeight="false" outlineLevel="0" collapsed="false">
      <c r="N341" s="15" t="str">
        <f aca="false">IFERROR(MATCH(K341,Lists!$A$2:$A$6,0),"")</f>
        <v/>
      </c>
      <c r="O341" s="15" t="str">
        <f aca="false">IF(OR(G341="",H341=""),"",H341-G341)</f>
        <v/>
      </c>
      <c r="P341" s="15" t="str">
        <f aca="false">IF(OR(G341="",J341=""),"",J341-G341)</f>
        <v/>
      </c>
    </row>
    <row r="342" customFormat="false" ht="15" hidden="false" customHeight="false" outlineLevel="0" collapsed="false">
      <c r="N342" s="15" t="str">
        <f aca="false">IFERROR(MATCH(K342,Lists!$A$2:$A$6,0),"")</f>
        <v/>
      </c>
      <c r="O342" s="15" t="str">
        <f aca="false">IF(OR(G342="",H342=""),"",H342-G342)</f>
        <v/>
      </c>
      <c r="P342" s="15" t="str">
        <f aca="false">IF(OR(G342="",J342=""),"",J342-G342)</f>
        <v/>
      </c>
    </row>
    <row r="343" customFormat="false" ht="15" hidden="false" customHeight="false" outlineLevel="0" collapsed="false">
      <c r="N343" s="15" t="str">
        <f aca="false">IFERROR(MATCH(K343,Lists!$A$2:$A$6,0),"")</f>
        <v/>
      </c>
      <c r="O343" s="15" t="str">
        <f aca="false">IF(OR(G343="",H343=""),"",H343-G343)</f>
        <v/>
      </c>
      <c r="P343" s="15" t="str">
        <f aca="false">IF(OR(G343="",J343=""),"",J343-G343)</f>
        <v/>
      </c>
    </row>
    <row r="344" customFormat="false" ht="15" hidden="false" customHeight="false" outlineLevel="0" collapsed="false">
      <c r="N344" s="15" t="str">
        <f aca="false">IFERROR(MATCH(K344,Lists!$A$2:$A$6,0),"")</f>
        <v/>
      </c>
      <c r="O344" s="15" t="str">
        <f aca="false">IF(OR(G344="",H344=""),"",H344-G344)</f>
        <v/>
      </c>
      <c r="P344" s="15" t="str">
        <f aca="false">IF(OR(G344="",J344=""),"",J344-G344)</f>
        <v/>
      </c>
    </row>
    <row r="345" customFormat="false" ht="15" hidden="false" customHeight="false" outlineLevel="0" collapsed="false">
      <c r="N345" s="15" t="str">
        <f aca="false">IFERROR(MATCH(K345,Lists!$A$2:$A$6,0),"")</f>
        <v/>
      </c>
      <c r="O345" s="15" t="str">
        <f aca="false">IF(OR(G345="",H345=""),"",H345-G345)</f>
        <v/>
      </c>
      <c r="P345" s="15" t="str">
        <f aca="false">IF(OR(G345="",J345=""),"",J345-G345)</f>
        <v/>
      </c>
    </row>
    <row r="346" customFormat="false" ht="15" hidden="false" customHeight="false" outlineLevel="0" collapsed="false">
      <c r="N346" s="15" t="str">
        <f aca="false">IFERROR(MATCH(K346,Lists!$A$2:$A$6,0),"")</f>
        <v/>
      </c>
      <c r="O346" s="15" t="str">
        <f aca="false">IF(OR(G346="",H346=""),"",H346-G346)</f>
        <v/>
      </c>
      <c r="P346" s="15" t="str">
        <f aca="false">IF(OR(G346="",J346=""),"",J346-G346)</f>
        <v/>
      </c>
    </row>
    <row r="347" customFormat="false" ht="15" hidden="false" customHeight="false" outlineLevel="0" collapsed="false">
      <c r="N347" s="15" t="str">
        <f aca="false">IFERROR(MATCH(K347,Lists!$A$2:$A$6,0),"")</f>
        <v/>
      </c>
      <c r="O347" s="15" t="str">
        <f aca="false">IF(OR(G347="",H347=""),"",H347-G347)</f>
        <v/>
      </c>
      <c r="P347" s="15" t="str">
        <f aca="false">IF(OR(G347="",J347=""),"",J347-G347)</f>
        <v/>
      </c>
    </row>
    <row r="348" customFormat="false" ht="15" hidden="false" customHeight="false" outlineLevel="0" collapsed="false">
      <c r="N348" s="15" t="str">
        <f aca="false">IFERROR(MATCH(K348,Lists!$A$2:$A$6,0),"")</f>
        <v/>
      </c>
      <c r="O348" s="15" t="str">
        <f aca="false">IF(OR(G348="",H348=""),"",H348-G348)</f>
        <v/>
      </c>
      <c r="P348" s="15" t="str">
        <f aca="false">IF(OR(G348="",J348=""),"",J348-G348)</f>
        <v/>
      </c>
    </row>
    <row r="349" customFormat="false" ht="15" hidden="false" customHeight="false" outlineLevel="0" collapsed="false">
      <c r="N349" s="15" t="str">
        <f aca="false">IFERROR(MATCH(K349,Lists!$A$2:$A$6,0),"")</f>
        <v/>
      </c>
      <c r="O349" s="15" t="str">
        <f aca="false">IF(OR(G349="",H349=""),"",H349-G349)</f>
        <v/>
      </c>
      <c r="P349" s="15" t="str">
        <f aca="false">IF(OR(G349="",J349=""),"",J349-G349)</f>
        <v/>
      </c>
    </row>
    <row r="350" customFormat="false" ht="15" hidden="false" customHeight="false" outlineLevel="0" collapsed="false">
      <c r="N350" s="15" t="str">
        <f aca="false">IFERROR(MATCH(K350,Lists!$A$2:$A$6,0),"")</f>
        <v/>
      </c>
      <c r="O350" s="15" t="str">
        <f aca="false">IF(OR(G350="",H350=""),"",H350-G350)</f>
        <v/>
      </c>
      <c r="P350" s="15" t="str">
        <f aca="false">IF(OR(G350="",J350=""),"",J350-G350)</f>
        <v/>
      </c>
    </row>
    <row r="351" customFormat="false" ht="15" hidden="false" customHeight="false" outlineLevel="0" collapsed="false">
      <c r="N351" s="15" t="str">
        <f aca="false">IFERROR(MATCH(K351,Lists!$A$2:$A$6,0),"")</f>
        <v/>
      </c>
      <c r="O351" s="15" t="str">
        <f aca="false">IF(OR(G351="",H351=""),"",H351-G351)</f>
        <v/>
      </c>
      <c r="P351" s="15" t="str">
        <f aca="false">IF(OR(G351="",J351=""),"",J351-G351)</f>
        <v/>
      </c>
    </row>
    <row r="352" customFormat="false" ht="15" hidden="false" customHeight="false" outlineLevel="0" collapsed="false">
      <c r="N352" s="15" t="str">
        <f aca="false">IFERROR(MATCH(K352,Lists!$A$2:$A$6,0),"")</f>
        <v/>
      </c>
      <c r="O352" s="15" t="str">
        <f aca="false">IF(OR(G352="",H352=""),"",H352-G352)</f>
        <v/>
      </c>
      <c r="P352" s="15" t="str">
        <f aca="false">IF(OR(G352="",J352=""),"",J352-G352)</f>
        <v/>
      </c>
    </row>
    <row r="353" customFormat="false" ht="15" hidden="false" customHeight="false" outlineLevel="0" collapsed="false">
      <c r="N353" s="15" t="str">
        <f aca="false">IFERROR(MATCH(K353,Lists!$A$2:$A$6,0),"")</f>
        <v/>
      </c>
      <c r="O353" s="15" t="str">
        <f aca="false">IF(OR(G353="",H353=""),"",H353-G353)</f>
        <v/>
      </c>
      <c r="P353" s="15" t="str">
        <f aca="false">IF(OR(G353="",J353=""),"",J353-G353)</f>
        <v/>
      </c>
    </row>
    <row r="354" customFormat="false" ht="15" hidden="false" customHeight="false" outlineLevel="0" collapsed="false">
      <c r="N354" s="15" t="str">
        <f aca="false">IFERROR(MATCH(K354,Lists!$A$2:$A$6,0),"")</f>
        <v/>
      </c>
      <c r="O354" s="15" t="str">
        <f aca="false">IF(OR(G354="",H354=""),"",H354-G354)</f>
        <v/>
      </c>
      <c r="P354" s="15" t="str">
        <f aca="false">IF(OR(G354="",J354=""),"",J354-G354)</f>
        <v/>
      </c>
    </row>
    <row r="355" customFormat="false" ht="15" hidden="false" customHeight="false" outlineLevel="0" collapsed="false">
      <c r="N355" s="15" t="str">
        <f aca="false">IFERROR(MATCH(K355,Lists!$A$2:$A$6,0),"")</f>
        <v/>
      </c>
      <c r="O355" s="15" t="str">
        <f aca="false">IF(OR(G355="",H355=""),"",H355-G355)</f>
        <v/>
      </c>
      <c r="P355" s="15" t="str">
        <f aca="false">IF(OR(G355="",J355=""),"",J355-G355)</f>
        <v/>
      </c>
    </row>
    <row r="356" customFormat="false" ht="15" hidden="false" customHeight="false" outlineLevel="0" collapsed="false">
      <c r="N356" s="15" t="str">
        <f aca="false">IFERROR(MATCH(K356,Lists!$A$2:$A$6,0),"")</f>
        <v/>
      </c>
      <c r="O356" s="15" t="str">
        <f aca="false">IF(OR(G356="",H356=""),"",H356-G356)</f>
        <v/>
      </c>
      <c r="P356" s="15" t="str">
        <f aca="false">IF(OR(G356="",J356=""),"",J356-G356)</f>
        <v/>
      </c>
    </row>
    <row r="357" customFormat="false" ht="15" hidden="false" customHeight="false" outlineLevel="0" collapsed="false">
      <c r="N357" s="15" t="str">
        <f aca="false">IFERROR(MATCH(K357,Lists!$A$2:$A$6,0),"")</f>
        <v/>
      </c>
      <c r="O357" s="15" t="str">
        <f aca="false">IF(OR(G357="",H357=""),"",H357-G357)</f>
        <v/>
      </c>
      <c r="P357" s="15" t="str">
        <f aca="false">IF(OR(G357="",J357=""),"",J357-G357)</f>
        <v/>
      </c>
    </row>
    <row r="358" customFormat="false" ht="15" hidden="false" customHeight="false" outlineLevel="0" collapsed="false">
      <c r="N358" s="15" t="str">
        <f aca="false">IFERROR(MATCH(K358,Lists!$A$2:$A$6,0),"")</f>
        <v/>
      </c>
      <c r="O358" s="15" t="str">
        <f aca="false">IF(OR(G358="",H358=""),"",H358-G358)</f>
        <v/>
      </c>
      <c r="P358" s="15" t="str">
        <f aca="false">IF(OR(G358="",J358=""),"",J358-G358)</f>
        <v/>
      </c>
    </row>
    <row r="359" customFormat="false" ht="15" hidden="false" customHeight="false" outlineLevel="0" collapsed="false">
      <c r="N359" s="15" t="str">
        <f aca="false">IFERROR(MATCH(K359,Lists!$A$2:$A$6,0),"")</f>
        <v/>
      </c>
      <c r="O359" s="15" t="str">
        <f aca="false">IF(OR(G359="",H359=""),"",H359-G359)</f>
        <v/>
      </c>
      <c r="P359" s="15" t="str">
        <f aca="false">IF(OR(G359="",J359=""),"",J359-G359)</f>
        <v/>
      </c>
    </row>
    <row r="360" customFormat="false" ht="15" hidden="false" customHeight="false" outlineLevel="0" collapsed="false">
      <c r="N360" s="15" t="str">
        <f aca="false">IFERROR(MATCH(K360,Lists!$A$2:$A$6,0),"")</f>
        <v/>
      </c>
      <c r="O360" s="15" t="str">
        <f aca="false">IF(OR(G360="",H360=""),"",H360-G360)</f>
        <v/>
      </c>
      <c r="P360" s="15" t="str">
        <f aca="false">IF(OR(G360="",J360=""),"",J360-G360)</f>
        <v/>
      </c>
    </row>
    <row r="361" customFormat="false" ht="15" hidden="false" customHeight="false" outlineLevel="0" collapsed="false">
      <c r="N361" s="15" t="str">
        <f aca="false">IFERROR(MATCH(K361,Lists!$A$2:$A$6,0),"")</f>
        <v/>
      </c>
      <c r="O361" s="15" t="str">
        <f aca="false">IF(OR(G361="",H361=""),"",H361-G361)</f>
        <v/>
      </c>
      <c r="P361" s="15" t="str">
        <f aca="false">IF(OR(G361="",J361=""),"",J361-G361)</f>
        <v/>
      </c>
    </row>
    <row r="362" customFormat="false" ht="15" hidden="false" customHeight="false" outlineLevel="0" collapsed="false">
      <c r="N362" s="15" t="str">
        <f aca="false">IFERROR(MATCH(K362,Lists!$A$2:$A$6,0),"")</f>
        <v/>
      </c>
      <c r="O362" s="15" t="str">
        <f aca="false">IF(OR(G362="",H362=""),"",H362-G362)</f>
        <v/>
      </c>
      <c r="P362" s="15" t="str">
        <f aca="false">IF(OR(G362="",J362=""),"",J362-G362)</f>
        <v/>
      </c>
    </row>
    <row r="363" customFormat="false" ht="15" hidden="false" customHeight="false" outlineLevel="0" collapsed="false">
      <c r="N363" s="15" t="str">
        <f aca="false">IFERROR(MATCH(K363,Lists!$A$2:$A$6,0),"")</f>
        <v/>
      </c>
      <c r="O363" s="15" t="str">
        <f aca="false">IF(OR(G363="",H363=""),"",H363-G363)</f>
        <v/>
      </c>
      <c r="P363" s="15" t="str">
        <f aca="false">IF(OR(G363="",J363=""),"",J363-G363)</f>
        <v/>
      </c>
    </row>
    <row r="364" customFormat="false" ht="15" hidden="false" customHeight="false" outlineLevel="0" collapsed="false">
      <c r="N364" s="15" t="str">
        <f aca="false">IFERROR(MATCH(K364,Lists!$A$2:$A$6,0),"")</f>
        <v/>
      </c>
      <c r="O364" s="15" t="str">
        <f aca="false">IF(OR(G364="",H364=""),"",H364-G364)</f>
        <v/>
      </c>
      <c r="P364" s="15" t="str">
        <f aca="false">IF(OR(G364="",J364=""),"",J364-G364)</f>
        <v/>
      </c>
    </row>
    <row r="365" customFormat="false" ht="15" hidden="false" customHeight="false" outlineLevel="0" collapsed="false">
      <c r="N365" s="15" t="str">
        <f aca="false">IFERROR(MATCH(K365,Lists!$A$2:$A$6,0),"")</f>
        <v/>
      </c>
      <c r="O365" s="15" t="str">
        <f aca="false">IF(OR(G365="",H365=""),"",H365-G365)</f>
        <v/>
      </c>
      <c r="P365" s="15" t="str">
        <f aca="false">IF(OR(G365="",J365=""),"",J365-G365)</f>
        <v/>
      </c>
    </row>
    <row r="366" customFormat="false" ht="15" hidden="false" customHeight="false" outlineLevel="0" collapsed="false">
      <c r="N366" s="15" t="str">
        <f aca="false">IFERROR(MATCH(K366,Lists!$A$2:$A$6,0),"")</f>
        <v/>
      </c>
      <c r="O366" s="15" t="str">
        <f aca="false">IF(OR(G366="",H366=""),"",H366-G366)</f>
        <v/>
      </c>
      <c r="P366" s="15" t="str">
        <f aca="false">IF(OR(G366="",J366=""),"",J366-G366)</f>
        <v/>
      </c>
    </row>
    <row r="367" customFormat="false" ht="15" hidden="false" customHeight="false" outlineLevel="0" collapsed="false">
      <c r="N367" s="15" t="str">
        <f aca="false">IFERROR(MATCH(K367,Lists!$A$2:$A$6,0),"")</f>
        <v/>
      </c>
      <c r="O367" s="15" t="str">
        <f aca="false">IF(OR(G367="",H367=""),"",H367-G367)</f>
        <v/>
      </c>
      <c r="P367" s="15" t="str">
        <f aca="false">IF(OR(G367="",J367=""),"",J367-G367)</f>
        <v/>
      </c>
    </row>
    <row r="368" customFormat="false" ht="15" hidden="false" customHeight="false" outlineLevel="0" collapsed="false">
      <c r="N368" s="15" t="str">
        <f aca="false">IFERROR(MATCH(K368,Lists!$A$2:$A$6,0),"")</f>
        <v/>
      </c>
      <c r="O368" s="15" t="str">
        <f aca="false">IF(OR(G368="",H368=""),"",H368-G368)</f>
        <v/>
      </c>
      <c r="P368" s="15" t="str">
        <f aca="false">IF(OR(G368="",J368=""),"",J368-G368)</f>
        <v/>
      </c>
    </row>
    <row r="369" customFormat="false" ht="15" hidden="false" customHeight="false" outlineLevel="0" collapsed="false">
      <c r="N369" s="15" t="str">
        <f aca="false">IFERROR(MATCH(K369,Lists!$A$2:$A$6,0),"")</f>
        <v/>
      </c>
      <c r="O369" s="15" t="str">
        <f aca="false">IF(OR(G369="",H369=""),"",H369-G369)</f>
        <v/>
      </c>
      <c r="P369" s="15" t="str">
        <f aca="false">IF(OR(G369="",J369=""),"",J369-G369)</f>
        <v/>
      </c>
    </row>
    <row r="370" customFormat="false" ht="15" hidden="false" customHeight="false" outlineLevel="0" collapsed="false">
      <c r="N370" s="15" t="str">
        <f aca="false">IFERROR(MATCH(K370,Lists!$A$2:$A$6,0),"")</f>
        <v/>
      </c>
      <c r="O370" s="15" t="str">
        <f aca="false">IF(OR(G370="",H370=""),"",H370-G370)</f>
        <v/>
      </c>
      <c r="P370" s="15" t="str">
        <f aca="false">IF(OR(G370="",J370=""),"",J370-G370)</f>
        <v/>
      </c>
    </row>
    <row r="371" customFormat="false" ht="15" hidden="false" customHeight="false" outlineLevel="0" collapsed="false">
      <c r="N371" s="15" t="str">
        <f aca="false">IFERROR(MATCH(K371,Lists!$A$2:$A$6,0),"")</f>
        <v/>
      </c>
      <c r="O371" s="15" t="str">
        <f aca="false">IF(OR(G371="",H371=""),"",H371-G371)</f>
        <v/>
      </c>
      <c r="P371" s="15" t="str">
        <f aca="false">IF(OR(G371="",J371=""),"",J371-G371)</f>
        <v/>
      </c>
    </row>
    <row r="372" customFormat="false" ht="15" hidden="false" customHeight="false" outlineLevel="0" collapsed="false">
      <c r="N372" s="15" t="str">
        <f aca="false">IFERROR(MATCH(K372,Lists!$A$2:$A$6,0),"")</f>
        <v/>
      </c>
      <c r="O372" s="15" t="str">
        <f aca="false">IF(OR(G372="",H372=""),"",H372-G372)</f>
        <v/>
      </c>
      <c r="P372" s="15" t="str">
        <f aca="false">IF(OR(G372="",J372=""),"",J372-G372)</f>
        <v/>
      </c>
    </row>
    <row r="373" customFormat="false" ht="15" hidden="false" customHeight="false" outlineLevel="0" collapsed="false">
      <c r="N373" s="15" t="str">
        <f aca="false">IFERROR(MATCH(K373,Lists!$A$2:$A$6,0),"")</f>
        <v/>
      </c>
      <c r="O373" s="15" t="str">
        <f aca="false">IF(OR(G373="",H373=""),"",H373-G373)</f>
        <v/>
      </c>
      <c r="P373" s="15" t="str">
        <f aca="false">IF(OR(G373="",J373=""),"",J373-G373)</f>
        <v/>
      </c>
    </row>
    <row r="374" customFormat="false" ht="15" hidden="false" customHeight="false" outlineLevel="0" collapsed="false">
      <c r="N374" s="15" t="str">
        <f aca="false">IFERROR(MATCH(K374,Lists!$A$2:$A$6,0),"")</f>
        <v/>
      </c>
      <c r="O374" s="15" t="str">
        <f aca="false">IF(OR(G374="",H374=""),"",H374-G374)</f>
        <v/>
      </c>
      <c r="P374" s="15" t="str">
        <f aca="false">IF(OR(G374="",J374=""),"",J374-G374)</f>
        <v/>
      </c>
    </row>
    <row r="375" customFormat="false" ht="15" hidden="false" customHeight="false" outlineLevel="0" collapsed="false">
      <c r="N375" s="15" t="str">
        <f aca="false">IFERROR(MATCH(K375,Lists!$A$2:$A$6,0),"")</f>
        <v/>
      </c>
      <c r="O375" s="15" t="str">
        <f aca="false">IF(OR(G375="",H375=""),"",H375-G375)</f>
        <v/>
      </c>
      <c r="P375" s="15" t="str">
        <f aca="false">IF(OR(G375="",J375=""),"",J375-G375)</f>
        <v/>
      </c>
    </row>
    <row r="376" customFormat="false" ht="15" hidden="false" customHeight="false" outlineLevel="0" collapsed="false">
      <c r="N376" s="15" t="str">
        <f aca="false">IFERROR(MATCH(K376,Lists!$A$2:$A$6,0),"")</f>
        <v/>
      </c>
      <c r="O376" s="15" t="str">
        <f aca="false">IF(OR(G376="",H376=""),"",H376-G376)</f>
        <v/>
      </c>
      <c r="P376" s="15" t="str">
        <f aca="false">IF(OR(G376="",J376=""),"",J376-G376)</f>
        <v/>
      </c>
    </row>
    <row r="377" customFormat="false" ht="15" hidden="false" customHeight="false" outlineLevel="0" collapsed="false">
      <c r="N377" s="15" t="str">
        <f aca="false">IFERROR(MATCH(K377,Lists!$A$2:$A$6,0),"")</f>
        <v/>
      </c>
      <c r="O377" s="15" t="str">
        <f aca="false">IF(OR(G377="",H377=""),"",H377-G377)</f>
        <v/>
      </c>
      <c r="P377" s="15" t="str">
        <f aca="false">IF(OR(G377="",J377=""),"",J377-G377)</f>
        <v/>
      </c>
    </row>
    <row r="378" customFormat="false" ht="15" hidden="false" customHeight="false" outlineLevel="0" collapsed="false">
      <c r="N378" s="15" t="str">
        <f aca="false">IFERROR(MATCH(K378,Lists!$A$2:$A$6,0),"")</f>
        <v/>
      </c>
      <c r="O378" s="15" t="str">
        <f aca="false">IF(OR(G378="",H378=""),"",H378-G378)</f>
        <v/>
      </c>
      <c r="P378" s="15" t="str">
        <f aca="false">IF(OR(G378="",J378=""),"",J378-G378)</f>
        <v/>
      </c>
    </row>
    <row r="379" customFormat="false" ht="15" hidden="false" customHeight="false" outlineLevel="0" collapsed="false">
      <c r="N379" s="15" t="str">
        <f aca="false">IFERROR(MATCH(K379,Lists!$A$2:$A$6,0),"")</f>
        <v/>
      </c>
      <c r="O379" s="15" t="str">
        <f aca="false">IF(OR(G379="",H379=""),"",H379-G379)</f>
        <v/>
      </c>
      <c r="P379" s="15" t="str">
        <f aca="false">IF(OR(G379="",J379=""),"",J379-G379)</f>
        <v/>
      </c>
    </row>
    <row r="380" customFormat="false" ht="15" hidden="false" customHeight="false" outlineLevel="0" collapsed="false">
      <c r="N380" s="15" t="str">
        <f aca="false">IFERROR(MATCH(K380,Lists!$A$2:$A$6,0),"")</f>
        <v/>
      </c>
      <c r="O380" s="15" t="str">
        <f aca="false">IF(OR(G380="",H380=""),"",H380-G380)</f>
        <v/>
      </c>
      <c r="P380" s="15" t="str">
        <f aca="false">IF(OR(G380="",J380=""),"",J380-G380)</f>
        <v/>
      </c>
    </row>
    <row r="381" customFormat="false" ht="15" hidden="false" customHeight="false" outlineLevel="0" collapsed="false">
      <c r="N381" s="15" t="str">
        <f aca="false">IFERROR(MATCH(K381,Lists!$A$2:$A$6,0),"")</f>
        <v/>
      </c>
      <c r="O381" s="15" t="str">
        <f aca="false">IF(OR(G381="",H381=""),"",H381-G381)</f>
        <v/>
      </c>
      <c r="P381" s="15" t="str">
        <f aca="false">IF(OR(G381="",J381=""),"",J381-G381)</f>
        <v/>
      </c>
    </row>
    <row r="382" customFormat="false" ht="15" hidden="false" customHeight="false" outlineLevel="0" collapsed="false">
      <c r="N382" s="15" t="str">
        <f aca="false">IFERROR(MATCH(K382,Lists!$A$2:$A$6,0),"")</f>
        <v/>
      </c>
      <c r="O382" s="15" t="str">
        <f aca="false">IF(OR(G382="",H382=""),"",H382-G382)</f>
        <v/>
      </c>
      <c r="P382" s="15" t="str">
        <f aca="false">IF(OR(G382="",J382=""),"",J382-G382)</f>
        <v/>
      </c>
    </row>
    <row r="383" customFormat="false" ht="15" hidden="false" customHeight="false" outlineLevel="0" collapsed="false">
      <c r="N383" s="15" t="str">
        <f aca="false">IFERROR(MATCH(K383,Lists!$A$2:$A$6,0),"")</f>
        <v/>
      </c>
      <c r="O383" s="15" t="str">
        <f aca="false">IF(OR(G383="",H383=""),"",H383-G383)</f>
        <v/>
      </c>
      <c r="P383" s="15" t="str">
        <f aca="false">IF(OR(G383="",J383=""),"",J383-G383)</f>
        <v/>
      </c>
    </row>
    <row r="384" customFormat="false" ht="15" hidden="false" customHeight="false" outlineLevel="0" collapsed="false">
      <c r="N384" s="15" t="str">
        <f aca="false">IFERROR(MATCH(K384,Lists!$A$2:$A$6,0),"")</f>
        <v/>
      </c>
      <c r="O384" s="15" t="str">
        <f aca="false">IF(OR(G384="",H384=""),"",H384-G384)</f>
        <v/>
      </c>
      <c r="P384" s="15" t="str">
        <f aca="false">IF(OR(G384="",J384=""),"",J384-G384)</f>
        <v/>
      </c>
    </row>
    <row r="385" customFormat="false" ht="15" hidden="false" customHeight="false" outlineLevel="0" collapsed="false">
      <c r="N385" s="15" t="str">
        <f aca="false">IFERROR(MATCH(K385,Lists!$A$2:$A$6,0),"")</f>
        <v/>
      </c>
      <c r="O385" s="15" t="str">
        <f aca="false">IF(OR(G385="",H385=""),"",H385-G385)</f>
        <v/>
      </c>
      <c r="P385" s="15" t="str">
        <f aca="false">IF(OR(G385="",J385=""),"",J385-G385)</f>
        <v/>
      </c>
    </row>
    <row r="386" customFormat="false" ht="15" hidden="false" customHeight="false" outlineLevel="0" collapsed="false">
      <c r="N386" s="15" t="str">
        <f aca="false">IFERROR(MATCH(K386,Lists!$A$2:$A$6,0),"")</f>
        <v/>
      </c>
      <c r="O386" s="15" t="str">
        <f aca="false">IF(OR(G386="",H386=""),"",H386-G386)</f>
        <v/>
      </c>
      <c r="P386" s="15" t="str">
        <f aca="false">IF(OR(G386="",J386=""),"",J386-G386)</f>
        <v/>
      </c>
    </row>
    <row r="387" customFormat="false" ht="15" hidden="false" customHeight="false" outlineLevel="0" collapsed="false">
      <c r="N387" s="15" t="str">
        <f aca="false">IFERROR(MATCH(K387,Lists!$A$2:$A$6,0),"")</f>
        <v/>
      </c>
      <c r="O387" s="15" t="str">
        <f aca="false">IF(OR(G387="",H387=""),"",H387-G387)</f>
        <v/>
      </c>
      <c r="P387" s="15" t="str">
        <f aca="false">IF(OR(G387="",J387=""),"",J387-G387)</f>
        <v/>
      </c>
    </row>
    <row r="388" customFormat="false" ht="15" hidden="false" customHeight="false" outlineLevel="0" collapsed="false">
      <c r="N388" s="15" t="str">
        <f aca="false">IFERROR(MATCH(K388,Lists!$A$2:$A$6,0),"")</f>
        <v/>
      </c>
      <c r="O388" s="15" t="str">
        <f aca="false">IF(OR(G388="",H388=""),"",H388-G388)</f>
        <v/>
      </c>
      <c r="P388" s="15" t="str">
        <f aca="false">IF(OR(G388="",J388=""),"",J388-G388)</f>
        <v/>
      </c>
    </row>
    <row r="389" customFormat="false" ht="15" hidden="false" customHeight="false" outlineLevel="0" collapsed="false">
      <c r="N389" s="15" t="str">
        <f aca="false">IFERROR(MATCH(K389,Lists!$A$2:$A$6,0),"")</f>
        <v/>
      </c>
      <c r="O389" s="15" t="str">
        <f aca="false">IF(OR(G389="",H389=""),"",H389-G389)</f>
        <v/>
      </c>
      <c r="P389" s="15" t="str">
        <f aca="false">IF(OR(G389="",J389=""),"",J389-G389)</f>
        <v/>
      </c>
    </row>
    <row r="390" customFormat="false" ht="15" hidden="false" customHeight="false" outlineLevel="0" collapsed="false">
      <c r="N390" s="15" t="str">
        <f aca="false">IFERROR(MATCH(K390,Lists!$A$2:$A$6,0),"")</f>
        <v/>
      </c>
      <c r="O390" s="15" t="str">
        <f aca="false">IF(OR(G390="",H390=""),"",H390-G390)</f>
        <v/>
      </c>
      <c r="P390" s="15" t="str">
        <f aca="false">IF(OR(G390="",J390=""),"",J390-G390)</f>
        <v/>
      </c>
    </row>
    <row r="391" customFormat="false" ht="15" hidden="false" customHeight="false" outlineLevel="0" collapsed="false">
      <c r="N391" s="15" t="str">
        <f aca="false">IFERROR(MATCH(K391,Lists!$A$2:$A$6,0),"")</f>
        <v/>
      </c>
      <c r="O391" s="15" t="str">
        <f aca="false">IF(OR(G391="",H391=""),"",H391-G391)</f>
        <v/>
      </c>
      <c r="P391" s="15" t="str">
        <f aca="false">IF(OR(G391="",J391=""),"",J391-G391)</f>
        <v/>
      </c>
    </row>
    <row r="392" customFormat="false" ht="15" hidden="false" customHeight="false" outlineLevel="0" collapsed="false">
      <c r="N392" s="15" t="str">
        <f aca="false">IFERROR(MATCH(K392,Lists!$A$2:$A$6,0),"")</f>
        <v/>
      </c>
      <c r="O392" s="15" t="str">
        <f aca="false">IF(OR(G392="",H392=""),"",H392-G392)</f>
        <v/>
      </c>
      <c r="P392" s="15" t="str">
        <f aca="false">IF(OR(G392="",J392=""),"",J392-G392)</f>
        <v/>
      </c>
    </row>
    <row r="393" customFormat="false" ht="15" hidden="false" customHeight="false" outlineLevel="0" collapsed="false">
      <c r="N393" s="15" t="str">
        <f aca="false">IFERROR(MATCH(K393,Lists!$A$2:$A$6,0),"")</f>
        <v/>
      </c>
      <c r="O393" s="15" t="str">
        <f aca="false">IF(OR(G393="",H393=""),"",H393-G393)</f>
        <v/>
      </c>
      <c r="P393" s="15" t="str">
        <f aca="false">IF(OR(G393="",J393=""),"",J393-G393)</f>
        <v/>
      </c>
    </row>
    <row r="394" customFormat="false" ht="15" hidden="false" customHeight="false" outlineLevel="0" collapsed="false">
      <c r="N394" s="15" t="str">
        <f aca="false">IFERROR(MATCH(K394,Lists!$A$2:$A$6,0),"")</f>
        <v/>
      </c>
      <c r="O394" s="15" t="str">
        <f aca="false">IF(OR(G394="",H394=""),"",H394-G394)</f>
        <v/>
      </c>
      <c r="P394" s="15" t="str">
        <f aca="false">IF(OR(G394="",J394=""),"",J394-G394)</f>
        <v/>
      </c>
    </row>
    <row r="395" customFormat="false" ht="15" hidden="false" customHeight="false" outlineLevel="0" collapsed="false">
      <c r="N395" s="15" t="str">
        <f aca="false">IFERROR(MATCH(K395,Lists!$A$2:$A$6,0),"")</f>
        <v/>
      </c>
      <c r="O395" s="15" t="str">
        <f aca="false">IF(OR(G395="",H395=""),"",H395-G395)</f>
        <v/>
      </c>
      <c r="P395" s="15" t="str">
        <f aca="false">IF(OR(G395="",J395=""),"",J395-G395)</f>
        <v/>
      </c>
    </row>
    <row r="396" customFormat="false" ht="15" hidden="false" customHeight="false" outlineLevel="0" collapsed="false">
      <c r="N396" s="15" t="str">
        <f aca="false">IFERROR(MATCH(K396,Lists!$A$2:$A$6,0),"")</f>
        <v/>
      </c>
      <c r="O396" s="15" t="str">
        <f aca="false">IF(OR(G396="",H396=""),"",H396-G396)</f>
        <v/>
      </c>
      <c r="P396" s="15" t="str">
        <f aca="false">IF(OR(G396="",J396=""),"",J396-G396)</f>
        <v/>
      </c>
    </row>
    <row r="397" customFormat="false" ht="15" hidden="false" customHeight="false" outlineLevel="0" collapsed="false">
      <c r="N397" s="15" t="str">
        <f aca="false">IFERROR(MATCH(K397,Lists!$A$2:$A$6,0),"")</f>
        <v/>
      </c>
      <c r="O397" s="15" t="str">
        <f aca="false">IF(OR(G397="",H397=""),"",H397-G397)</f>
        <v/>
      </c>
      <c r="P397" s="15" t="str">
        <f aca="false">IF(OR(G397="",J397=""),"",J397-G397)</f>
        <v/>
      </c>
    </row>
    <row r="398" customFormat="false" ht="15" hidden="false" customHeight="false" outlineLevel="0" collapsed="false">
      <c r="N398" s="15" t="str">
        <f aca="false">IFERROR(MATCH(K398,Lists!$A$2:$A$6,0),"")</f>
        <v/>
      </c>
      <c r="O398" s="15" t="str">
        <f aca="false">IF(OR(G398="",H398=""),"",H398-G398)</f>
        <v/>
      </c>
      <c r="P398" s="15" t="str">
        <f aca="false">IF(OR(G398="",J398=""),"",J398-G398)</f>
        <v/>
      </c>
    </row>
    <row r="399" customFormat="false" ht="15" hidden="false" customHeight="false" outlineLevel="0" collapsed="false">
      <c r="N399" s="15" t="str">
        <f aca="false">IFERROR(MATCH(K399,Lists!$A$2:$A$6,0),"")</f>
        <v/>
      </c>
      <c r="O399" s="15" t="str">
        <f aca="false">IF(OR(G399="",H399=""),"",H399-G399)</f>
        <v/>
      </c>
      <c r="P399" s="15" t="str">
        <f aca="false">IF(OR(G399="",J399=""),"",J399-G399)</f>
        <v/>
      </c>
    </row>
    <row r="400" customFormat="false" ht="15" hidden="false" customHeight="false" outlineLevel="0" collapsed="false">
      <c r="N400" s="15" t="str">
        <f aca="false">IFERROR(MATCH(K400,Lists!$A$2:$A$6,0),"")</f>
        <v/>
      </c>
      <c r="O400" s="15" t="str">
        <f aca="false">IF(OR(G400="",H400=""),"",H400-G400)</f>
        <v/>
      </c>
      <c r="P400" s="15" t="str">
        <f aca="false">IF(OR(G400="",J400=""),"",J400-G400)</f>
        <v/>
      </c>
    </row>
    <row r="401" customFormat="false" ht="15" hidden="false" customHeight="false" outlineLevel="0" collapsed="false">
      <c r="N401" s="15" t="str">
        <f aca="false">IFERROR(MATCH(K401,Lists!$A$2:$A$6,0),"")</f>
        <v/>
      </c>
      <c r="O401" s="15" t="str">
        <f aca="false">IF(OR(G401="",H401=""),"",H401-G401)</f>
        <v/>
      </c>
      <c r="P401" s="15" t="str">
        <f aca="false">IF(OR(G401="",J401=""),"",J401-G401)</f>
        <v/>
      </c>
    </row>
    <row r="402" customFormat="false" ht="15" hidden="false" customHeight="false" outlineLevel="0" collapsed="false">
      <c r="N402" s="15" t="str">
        <f aca="false">IFERROR(MATCH(K402,Lists!$A$2:$A$6,0),"")</f>
        <v/>
      </c>
      <c r="O402" s="15" t="str">
        <f aca="false">IF(OR(G402="",H402=""),"",H402-G402)</f>
        <v/>
      </c>
      <c r="P402" s="15" t="str">
        <f aca="false">IF(OR(G402="",J402=""),"",J402-G402)</f>
        <v/>
      </c>
    </row>
    <row r="403" customFormat="false" ht="15" hidden="false" customHeight="false" outlineLevel="0" collapsed="false">
      <c r="N403" s="15" t="str">
        <f aca="false">IFERROR(MATCH(K403,Lists!$A$2:$A$6,0),"")</f>
        <v/>
      </c>
      <c r="O403" s="15" t="str">
        <f aca="false">IF(OR(G403="",H403=""),"",H403-G403)</f>
        <v/>
      </c>
      <c r="P403" s="15" t="str">
        <f aca="false">IF(OR(G403="",J403=""),"",J403-G403)</f>
        <v/>
      </c>
    </row>
    <row r="404" customFormat="false" ht="15" hidden="false" customHeight="false" outlineLevel="0" collapsed="false">
      <c r="N404" s="15" t="str">
        <f aca="false">IFERROR(MATCH(K404,Lists!$A$2:$A$6,0),"")</f>
        <v/>
      </c>
      <c r="O404" s="15" t="str">
        <f aca="false">IF(OR(G404="",H404=""),"",H404-G404)</f>
        <v/>
      </c>
      <c r="P404" s="15" t="str">
        <f aca="false">IF(OR(G404="",J404=""),"",J404-G404)</f>
        <v/>
      </c>
    </row>
    <row r="405" customFormat="false" ht="15" hidden="false" customHeight="false" outlineLevel="0" collapsed="false">
      <c r="N405" s="15" t="str">
        <f aca="false">IFERROR(MATCH(K405,Lists!$A$2:$A$6,0),"")</f>
        <v/>
      </c>
      <c r="O405" s="15" t="str">
        <f aca="false">IF(OR(G405="",H405=""),"",H405-G405)</f>
        <v/>
      </c>
      <c r="P405" s="15" t="str">
        <f aca="false">IF(OR(G405="",J405=""),"",J405-G405)</f>
        <v/>
      </c>
    </row>
    <row r="406" customFormat="false" ht="15" hidden="false" customHeight="false" outlineLevel="0" collapsed="false">
      <c r="N406" s="15" t="str">
        <f aca="false">IFERROR(MATCH(K406,Lists!$A$2:$A$6,0),"")</f>
        <v/>
      </c>
      <c r="O406" s="15" t="str">
        <f aca="false">IF(OR(G406="",H406=""),"",H406-G406)</f>
        <v/>
      </c>
      <c r="P406" s="15" t="str">
        <f aca="false">IF(OR(G406="",J406=""),"",J406-G406)</f>
        <v/>
      </c>
    </row>
    <row r="407" customFormat="false" ht="15" hidden="false" customHeight="false" outlineLevel="0" collapsed="false">
      <c r="N407" s="15" t="str">
        <f aca="false">IFERROR(MATCH(K407,Lists!$A$2:$A$6,0),"")</f>
        <v/>
      </c>
      <c r="O407" s="15" t="str">
        <f aca="false">IF(OR(G407="",H407=""),"",H407-G407)</f>
        <v/>
      </c>
      <c r="P407" s="15" t="str">
        <f aca="false">IF(OR(G407="",J407=""),"",J407-G407)</f>
        <v/>
      </c>
    </row>
    <row r="408" customFormat="false" ht="15" hidden="false" customHeight="false" outlineLevel="0" collapsed="false">
      <c r="N408" s="15" t="str">
        <f aca="false">IFERROR(MATCH(K408,Lists!$A$2:$A$6,0),"")</f>
        <v/>
      </c>
      <c r="O408" s="15" t="str">
        <f aca="false">IF(OR(G408="",H408=""),"",H408-G408)</f>
        <v/>
      </c>
      <c r="P408" s="15" t="str">
        <f aca="false">IF(OR(G408="",J408=""),"",J408-G408)</f>
        <v/>
      </c>
    </row>
    <row r="409" customFormat="false" ht="15" hidden="false" customHeight="false" outlineLevel="0" collapsed="false">
      <c r="N409" s="15" t="str">
        <f aca="false">IFERROR(MATCH(K409,Lists!$A$2:$A$6,0),"")</f>
        <v/>
      </c>
      <c r="O409" s="15" t="str">
        <f aca="false">IF(OR(G409="",H409=""),"",H409-G409)</f>
        <v/>
      </c>
      <c r="P409" s="15" t="str">
        <f aca="false">IF(OR(G409="",J409=""),"",J409-G409)</f>
        <v/>
      </c>
    </row>
    <row r="410" customFormat="false" ht="15" hidden="false" customHeight="false" outlineLevel="0" collapsed="false">
      <c r="N410" s="15" t="str">
        <f aca="false">IFERROR(MATCH(K410,Lists!$A$2:$A$6,0),"")</f>
        <v/>
      </c>
      <c r="O410" s="15" t="str">
        <f aca="false">IF(OR(G410="",H410=""),"",H410-G410)</f>
        <v/>
      </c>
      <c r="P410" s="15" t="str">
        <f aca="false">IF(OR(G410="",J410=""),"",J410-G410)</f>
        <v/>
      </c>
    </row>
    <row r="411" customFormat="false" ht="15" hidden="false" customHeight="false" outlineLevel="0" collapsed="false">
      <c r="N411" s="15" t="str">
        <f aca="false">IFERROR(MATCH(K411,Lists!$A$2:$A$6,0),"")</f>
        <v/>
      </c>
      <c r="O411" s="15" t="str">
        <f aca="false">IF(OR(G411="",H411=""),"",H411-G411)</f>
        <v/>
      </c>
      <c r="P411" s="15" t="str">
        <f aca="false">IF(OR(G411="",J411=""),"",J411-G411)</f>
        <v/>
      </c>
    </row>
    <row r="412" customFormat="false" ht="15" hidden="false" customHeight="false" outlineLevel="0" collapsed="false">
      <c r="N412" s="15" t="str">
        <f aca="false">IFERROR(MATCH(K412,Lists!$A$2:$A$6,0),"")</f>
        <v/>
      </c>
      <c r="O412" s="15" t="str">
        <f aca="false">IF(OR(G412="",H412=""),"",H412-G412)</f>
        <v/>
      </c>
      <c r="P412" s="15" t="str">
        <f aca="false">IF(OR(G412="",J412=""),"",J412-G412)</f>
        <v/>
      </c>
    </row>
    <row r="413" customFormat="false" ht="15" hidden="false" customHeight="false" outlineLevel="0" collapsed="false">
      <c r="N413" s="15" t="str">
        <f aca="false">IFERROR(MATCH(K413,Lists!$A$2:$A$6,0),"")</f>
        <v/>
      </c>
      <c r="O413" s="15" t="str">
        <f aca="false">IF(OR(G413="",H413=""),"",H413-G413)</f>
        <v/>
      </c>
      <c r="P413" s="15" t="str">
        <f aca="false">IF(OR(G413="",J413=""),"",J413-G413)</f>
        <v/>
      </c>
    </row>
    <row r="414" customFormat="false" ht="15" hidden="false" customHeight="false" outlineLevel="0" collapsed="false">
      <c r="N414" s="15" t="str">
        <f aca="false">IFERROR(MATCH(K414,Lists!$A$2:$A$6,0),"")</f>
        <v/>
      </c>
      <c r="O414" s="15" t="str">
        <f aca="false">IF(OR(G414="",H414=""),"",H414-G414)</f>
        <v/>
      </c>
      <c r="P414" s="15" t="str">
        <f aca="false">IF(OR(G414="",J414=""),"",J414-G414)</f>
        <v/>
      </c>
    </row>
    <row r="415" customFormat="false" ht="15" hidden="false" customHeight="false" outlineLevel="0" collapsed="false">
      <c r="N415" s="15" t="str">
        <f aca="false">IFERROR(MATCH(K415,Lists!$A$2:$A$6,0),"")</f>
        <v/>
      </c>
      <c r="O415" s="15" t="str">
        <f aca="false">IF(OR(G415="",H415=""),"",H415-G415)</f>
        <v/>
      </c>
      <c r="P415" s="15" t="str">
        <f aca="false">IF(OR(G415="",J415=""),"",J415-G415)</f>
        <v/>
      </c>
    </row>
    <row r="416" customFormat="false" ht="15" hidden="false" customHeight="false" outlineLevel="0" collapsed="false">
      <c r="N416" s="15" t="str">
        <f aca="false">IFERROR(MATCH(K416,Lists!$A$2:$A$6,0),"")</f>
        <v/>
      </c>
      <c r="O416" s="15" t="str">
        <f aca="false">IF(OR(G416="",H416=""),"",H416-G416)</f>
        <v/>
      </c>
      <c r="P416" s="15" t="str">
        <f aca="false">IF(OR(G416="",J416=""),"",J416-G416)</f>
        <v/>
      </c>
    </row>
    <row r="417" customFormat="false" ht="15" hidden="false" customHeight="false" outlineLevel="0" collapsed="false">
      <c r="N417" s="15" t="str">
        <f aca="false">IFERROR(MATCH(K417,Lists!$A$2:$A$6,0),"")</f>
        <v/>
      </c>
      <c r="O417" s="15" t="str">
        <f aca="false">IF(OR(G417="",H417=""),"",H417-G417)</f>
        <v/>
      </c>
      <c r="P417" s="15" t="str">
        <f aca="false">IF(OR(G417="",J417=""),"",J417-G417)</f>
        <v/>
      </c>
    </row>
    <row r="418" customFormat="false" ht="15" hidden="false" customHeight="false" outlineLevel="0" collapsed="false">
      <c r="N418" s="15" t="str">
        <f aca="false">IFERROR(MATCH(K418,Lists!$A$2:$A$6,0),"")</f>
        <v/>
      </c>
      <c r="O418" s="15" t="str">
        <f aca="false">IF(OR(G418="",H418=""),"",H418-G418)</f>
        <v/>
      </c>
      <c r="P418" s="15" t="str">
        <f aca="false">IF(OR(G418="",J418=""),"",J418-G418)</f>
        <v/>
      </c>
    </row>
    <row r="419" customFormat="false" ht="15" hidden="false" customHeight="false" outlineLevel="0" collapsed="false">
      <c r="N419" s="15" t="str">
        <f aca="false">IFERROR(MATCH(K419,Lists!$A$2:$A$6,0),"")</f>
        <v/>
      </c>
      <c r="O419" s="15" t="str">
        <f aca="false">IF(OR(G419="",H419=""),"",H419-G419)</f>
        <v/>
      </c>
      <c r="P419" s="15" t="str">
        <f aca="false">IF(OR(G419="",J419=""),"",J419-G419)</f>
        <v/>
      </c>
    </row>
    <row r="420" customFormat="false" ht="15" hidden="false" customHeight="false" outlineLevel="0" collapsed="false">
      <c r="N420" s="15" t="str">
        <f aca="false">IFERROR(MATCH(K420,Lists!$A$2:$A$6,0),"")</f>
        <v/>
      </c>
      <c r="O420" s="15" t="str">
        <f aca="false">IF(OR(G420="",H420=""),"",H420-G420)</f>
        <v/>
      </c>
      <c r="P420" s="15" t="str">
        <f aca="false">IF(OR(G420="",J420=""),"",J420-G420)</f>
        <v/>
      </c>
    </row>
    <row r="421" customFormat="false" ht="15" hidden="false" customHeight="false" outlineLevel="0" collapsed="false">
      <c r="N421" s="15" t="str">
        <f aca="false">IFERROR(MATCH(K421,Lists!$A$2:$A$6,0),"")</f>
        <v/>
      </c>
      <c r="O421" s="15" t="str">
        <f aca="false">IF(OR(G421="",H421=""),"",H421-G421)</f>
        <v/>
      </c>
      <c r="P421" s="15" t="str">
        <f aca="false">IF(OR(G421="",J421=""),"",J421-G421)</f>
        <v/>
      </c>
    </row>
    <row r="422" customFormat="false" ht="15" hidden="false" customHeight="false" outlineLevel="0" collapsed="false">
      <c r="N422" s="15" t="str">
        <f aca="false">IFERROR(MATCH(K422,Lists!$A$2:$A$6,0),"")</f>
        <v/>
      </c>
      <c r="O422" s="15" t="str">
        <f aca="false">IF(OR(G422="",H422=""),"",H422-G422)</f>
        <v/>
      </c>
      <c r="P422" s="15" t="str">
        <f aca="false">IF(OR(G422="",J422=""),"",J422-G422)</f>
        <v/>
      </c>
    </row>
    <row r="423" customFormat="false" ht="15" hidden="false" customHeight="false" outlineLevel="0" collapsed="false">
      <c r="N423" s="15" t="str">
        <f aca="false">IFERROR(MATCH(K423,Lists!$A$2:$A$6,0),"")</f>
        <v/>
      </c>
      <c r="O423" s="15" t="str">
        <f aca="false">IF(OR(G423="",H423=""),"",H423-G423)</f>
        <v/>
      </c>
      <c r="P423" s="15" t="str">
        <f aca="false">IF(OR(G423="",J423=""),"",J423-G423)</f>
        <v/>
      </c>
    </row>
    <row r="424" customFormat="false" ht="15" hidden="false" customHeight="false" outlineLevel="0" collapsed="false">
      <c r="N424" s="15" t="str">
        <f aca="false">IFERROR(MATCH(K424,Lists!$A$2:$A$6,0),"")</f>
        <v/>
      </c>
      <c r="O424" s="15" t="str">
        <f aca="false">IF(OR(G424="",H424=""),"",H424-G424)</f>
        <v/>
      </c>
      <c r="P424" s="15" t="str">
        <f aca="false">IF(OR(G424="",J424=""),"",J424-G424)</f>
        <v/>
      </c>
    </row>
    <row r="425" customFormat="false" ht="15" hidden="false" customHeight="false" outlineLevel="0" collapsed="false">
      <c r="N425" s="15" t="str">
        <f aca="false">IFERROR(MATCH(K425,Lists!$A$2:$A$6,0),"")</f>
        <v/>
      </c>
      <c r="O425" s="15" t="str">
        <f aca="false">IF(OR(G425="",H425=""),"",H425-G425)</f>
        <v/>
      </c>
      <c r="P425" s="15" t="str">
        <f aca="false">IF(OR(G425="",J425=""),"",J425-G425)</f>
        <v/>
      </c>
    </row>
    <row r="426" customFormat="false" ht="15" hidden="false" customHeight="false" outlineLevel="0" collapsed="false">
      <c r="N426" s="15" t="str">
        <f aca="false">IFERROR(MATCH(K426,Lists!$A$2:$A$6,0),"")</f>
        <v/>
      </c>
      <c r="O426" s="15" t="str">
        <f aca="false">IF(OR(G426="",H426=""),"",H426-G426)</f>
        <v/>
      </c>
      <c r="P426" s="15" t="str">
        <f aca="false">IF(OR(G426="",J426=""),"",J426-G426)</f>
        <v/>
      </c>
    </row>
    <row r="427" customFormat="false" ht="15" hidden="false" customHeight="false" outlineLevel="0" collapsed="false">
      <c r="N427" s="15" t="str">
        <f aca="false">IFERROR(MATCH(K427,Lists!$A$2:$A$6,0),"")</f>
        <v/>
      </c>
      <c r="O427" s="15" t="str">
        <f aca="false">IF(OR(G427="",H427=""),"",H427-G427)</f>
        <v/>
      </c>
      <c r="P427" s="15" t="str">
        <f aca="false">IF(OR(G427="",J427=""),"",J427-G427)</f>
        <v/>
      </c>
    </row>
    <row r="428" customFormat="false" ht="15" hidden="false" customHeight="false" outlineLevel="0" collapsed="false">
      <c r="N428" s="15" t="str">
        <f aca="false">IFERROR(MATCH(K428,Lists!$A$2:$A$6,0),"")</f>
        <v/>
      </c>
      <c r="O428" s="15" t="str">
        <f aca="false">IF(OR(G428="",H428=""),"",H428-G428)</f>
        <v/>
      </c>
      <c r="P428" s="15" t="str">
        <f aca="false">IF(OR(G428="",J428=""),"",J428-G428)</f>
        <v/>
      </c>
    </row>
    <row r="429" customFormat="false" ht="15" hidden="false" customHeight="false" outlineLevel="0" collapsed="false">
      <c r="N429" s="15" t="str">
        <f aca="false">IFERROR(MATCH(K429,Lists!$A$2:$A$6,0),"")</f>
        <v/>
      </c>
      <c r="O429" s="15" t="str">
        <f aca="false">IF(OR(G429="",H429=""),"",H429-G429)</f>
        <v/>
      </c>
      <c r="P429" s="15" t="str">
        <f aca="false">IF(OR(G429="",J429=""),"",J429-G429)</f>
        <v/>
      </c>
    </row>
    <row r="430" customFormat="false" ht="15" hidden="false" customHeight="false" outlineLevel="0" collapsed="false">
      <c r="N430" s="15" t="str">
        <f aca="false">IFERROR(MATCH(K430,Lists!$A$2:$A$6,0),"")</f>
        <v/>
      </c>
      <c r="O430" s="15" t="str">
        <f aca="false">IF(OR(G430="",H430=""),"",H430-G430)</f>
        <v/>
      </c>
      <c r="P430" s="15" t="str">
        <f aca="false">IF(OR(G430="",J430=""),"",J430-G430)</f>
        <v/>
      </c>
    </row>
    <row r="431" customFormat="false" ht="15" hidden="false" customHeight="false" outlineLevel="0" collapsed="false">
      <c r="N431" s="15" t="str">
        <f aca="false">IFERROR(MATCH(K431,Lists!$A$2:$A$6,0),"")</f>
        <v/>
      </c>
      <c r="O431" s="15" t="str">
        <f aca="false">IF(OR(G431="",H431=""),"",H431-G431)</f>
        <v/>
      </c>
      <c r="P431" s="15" t="str">
        <f aca="false">IF(OR(G431="",J431=""),"",J431-G431)</f>
        <v/>
      </c>
    </row>
    <row r="432" customFormat="false" ht="15" hidden="false" customHeight="false" outlineLevel="0" collapsed="false">
      <c r="N432" s="15" t="str">
        <f aca="false">IFERROR(MATCH(K432,Lists!$A$2:$A$6,0),"")</f>
        <v/>
      </c>
      <c r="O432" s="15" t="str">
        <f aca="false">IF(OR(G432="",H432=""),"",H432-G432)</f>
        <v/>
      </c>
      <c r="P432" s="15" t="str">
        <f aca="false">IF(OR(G432="",J432=""),"",J432-G432)</f>
        <v/>
      </c>
    </row>
    <row r="433" customFormat="false" ht="15" hidden="false" customHeight="false" outlineLevel="0" collapsed="false">
      <c r="N433" s="15" t="str">
        <f aca="false">IFERROR(MATCH(K433,Lists!$A$2:$A$6,0),"")</f>
        <v/>
      </c>
      <c r="O433" s="15" t="str">
        <f aca="false">IF(OR(G433="",H433=""),"",H433-G433)</f>
        <v/>
      </c>
      <c r="P433" s="15" t="str">
        <f aca="false">IF(OR(G433="",J433=""),"",J433-G433)</f>
        <v/>
      </c>
    </row>
    <row r="434" customFormat="false" ht="15" hidden="false" customHeight="false" outlineLevel="0" collapsed="false">
      <c r="N434" s="15" t="str">
        <f aca="false">IFERROR(MATCH(K434,Lists!$A$2:$A$6,0),"")</f>
        <v/>
      </c>
      <c r="O434" s="15" t="str">
        <f aca="false">IF(OR(G434="",H434=""),"",H434-G434)</f>
        <v/>
      </c>
      <c r="P434" s="15" t="str">
        <f aca="false">IF(OR(G434="",J434=""),"",J434-G434)</f>
        <v/>
      </c>
    </row>
    <row r="435" customFormat="false" ht="15" hidden="false" customHeight="false" outlineLevel="0" collapsed="false">
      <c r="N435" s="15" t="str">
        <f aca="false">IFERROR(MATCH(K435,Lists!$A$2:$A$6,0),"")</f>
        <v/>
      </c>
      <c r="O435" s="15" t="str">
        <f aca="false">IF(OR(G435="",H435=""),"",H435-G435)</f>
        <v/>
      </c>
      <c r="P435" s="15" t="str">
        <f aca="false">IF(OR(G435="",J435=""),"",J435-G435)</f>
        <v/>
      </c>
    </row>
    <row r="436" customFormat="false" ht="15" hidden="false" customHeight="false" outlineLevel="0" collapsed="false">
      <c r="N436" s="15" t="str">
        <f aca="false">IFERROR(MATCH(K436,Lists!$A$2:$A$6,0),"")</f>
        <v/>
      </c>
      <c r="O436" s="15" t="str">
        <f aca="false">IF(OR(G436="",H436=""),"",H436-G436)</f>
        <v/>
      </c>
      <c r="P436" s="15" t="str">
        <f aca="false">IF(OR(G436="",J436=""),"",J436-G436)</f>
        <v/>
      </c>
    </row>
    <row r="437" customFormat="false" ht="15" hidden="false" customHeight="false" outlineLevel="0" collapsed="false">
      <c r="N437" s="15" t="str">
        <f aca="false">IFERROR(MATCH(K437,Lists!$A$2:$A$6,0),"")</f>
        <v/>
      </c>
      <c r="O437" s="15" t="str">
        <f aca="false">IF(OR(G437="",H437=""),"",H437-G437)</f>
        <v/>
      </c>
      <c r="P437" s="15" t="str">
        <f aca="false">IF(OR(G437="",J437=""),"",J437-G437)</f>
        <v/>
      </c>
    </row>
    <row r="438" customFormat="false" ht="15" hidden="false" customHeight="false" outlineLevel="0" collapsed="false">
      <c r="N438" s="15" t="str">
        <f aca="false">IFERROR(MATCH(K438,Lists!$A$2:$A$6,0),"")</f>
        <v/>
      </c>
      <c r="O438" s="15" t="str">
        <f aca="false">IF(OR(G438="",H438=""),"",H438-G438)</f>
        <v/>
      </c>
      <c r="P438" s="15" t="str">
        <f aca="false">IF(OR(G438="",J438=""),"",J438-G438)</f>
        <v/>
      </c>
    </row>
    <row r="439" customFormat="false" ht="15" hidden="false" customHeight="false" outlineLevel="0" collapsed="false">
      <c r="N439" s="15" t="str">
        <f aca="false">IFERROR(MATCH(K439,Lists!$A$2:$A$6,0),"")</f>
        <v/>
      </c>
      <c r="O439" s="15" t="str">
        <f aca="false">IF(OR(G439="",H439=""),"",H439-G439)</f>
        <v/>
      </c>
      <c r="P439" s="15" t="str">
        <f aca="false">IF(OR(G439="",J439=""),"",J439-G439)</f>
        <v/>
      </c>
    </row>
    <row r="440" customFormat="false" ht="15" hidden="false" customHeight="false" outlineLevel="0" collapsed="false">
      <c r="N440" s="15" t="str">
        <f aca="false">IFERROR(MATCH(K440,Lists!$A$2:$A$6,0),"")</f>
        <v/>
      </c>
      <c r="O440" s="15" t="str">
        <f aca="false">IF(OR(G440="",H440=""),"",H440-G440)</f>
        <v/>
      </c>
      <c r="P440" s="15" t="str">
        <f aca="false">IF(OR(G440="",J440=""),"",J440-G440)</f>
        <v/>
      </c>
    </row>
    <row r="441" customFormat="false" ht="15" hidden="false" customHeight="false" outlineLevel="0" collapsed="false">
      <c r="N441" s="15" t="str">
        <f aca="false">IFERROR(MATCH(K441,Lists!$A$2:$A$6,0),"")</f>
        <v/>
      </c>
      <c r="O441" s="15" t="str">
        <f aca="false">IF(OR(G441="",H441=""),"",H441-G441)</f>
        <v/>
      </c>
      <c r="P441" s="15" t="str">
        <f aca="false">IF(OR(G441="",J441=""),"",J441-G441)</f>
        <v/>
      </c>
    </row>
    <row r="442" customFormat="false" ht="15" hidden="false" customHeight="false" outlineLevel="0" collapsed="false">
      <c r="N442" s="15" t="str">
        <f aca="false">IFERROR(MATCH(K442,Lists!$A$2:$A$6,0),"")</f>
        <v/>
      </c>
      <c r="O442" s="15" t="str">
        <f aca="false">IF(OR(G442="",H442=""),"",H442-G442)</f>
        <v/>
      </c>
      <c r="P442" s="15" t="str">
        <f aca="false">IF(OR(G442="",J442=""),"",J442-G442)</f>
        <v/>
      </c>
    </row>
    <row r="443" customFormat="false" ht="15" hidden="false" customHeight="false" outlineLevel="0" collapsed="false">
      <c r="N443" s="15" t="str">
        <f aca="false">IFERROR(MATCH(K443,Lists!$A$2:$A$6,0),"")</f>
        <v/>
      </c>
      <c r="O443" s="15" t="str">
        <f aca="false">IF(OR(G443="",H443=""),"",H443-G443)</f>
        <v/>
      </c>
      <c r="P443" s="15" t="str">
        <f aca="false">IF(OR(G443="",J443=""),"",J443-G443)</f>
        <v/>
      </c>
    </row>
    <row r="444" customFormat="false" ht="15" hidden="false" customHeight="false" outlineLevel="0" collapsed="false">
      <c r="N444" s="15" t="str">
        <f aca="false">IFERROR(MATCH(K444,Lists!$A$2:$A$6,0),"")</f>
        <v/>
      </c>
      <c r="O444" s="15" t="str">
        <f aca="false">IF(OR(G444="",H444=""),"",H444-G444)</f>
        <v/>
      </c>
      <c r="P444" s="15" t="str">
        <f aca="false">IF(OR(G444="",J444=""),"",J444-G444)</f>
        <v/>
      </c>
    </row>
    <row r="445" customFormat="false" ht="15" hidden="false" customHeight="false" outlineLevel="0" collapsed="false">
      <c r="N445" s="15" t="str">
        <f aca="false">IFERROR(MATCH(K445,Lists!$A$2:$A$6,0),"")</f>
        <v/>
      </c>
      <c r="O445" s="15" t="str">
        <f aca="false">IF(OR(G445="",H445=""),"",H445-G445)</f>
        <v/>
      </c>
      <c r="P445" s="15" t="str">
        <f aca="false">IF(OR(G445="",J445=""),"",J445-G445)</f>
        <v/>
      </c>
    </row>
    <row r="446" customFormat="false" ht="15" hidden="false" customHeight="false" outlineLevel="0" collapsed="false">
      <c r="N446" s="15" t="str">
        <f aca="false">IFERROR(MATCH(K446,Lists!$A$2:$A$6,0),"")</f>
        <v/>
      </c>
      <c r="O446" s="15" t="str">
        <f aca="false">IF(OR(G446="",H446=""),"",H446-G446)</f>
        <v/>
      </c>
      <c r="P446" s="15" t="str">
        <f aca="false">IF(OR(G446="",J446=""),"",J446-G446)</f>
        <v/>
      </c>
    </row>
    <row r="447" customFormat="false" ht="15" hidden="false" customHeight="false" outlineLevel="0" collapsed="false">
      <c r="N447" s="15" t="str">
        <f aca="false">IFERROR(MATCH(K447,Lists!$A$2:$A$6,0),"")</f>
        <v/>
      </c>
      <c r="O447" s="15" t="str">
        <f aca="false">IF(OR(G447="",H447=""),"",H447-G447)</f>
        <v/>
      </c>
      <c r="P447" s="15" t="str">
        <f aca="false">IF(OR(G447="",J447=""),"",J447-G447)</f>
        <v/>
      </c>
    </row>
    <row r="448" customFormat="false" ht="15" hidden="false" customHeight="false" outlineLevel="0" collapsed="false">
      <c r="N448" s="15" t="str">
        <f aca="false">IFERROR(MATCH(K448,Lists!$A$2:$A$6,0),"")</f>
        <v/>
      </c>
      <c r="O448" s="15" t="str">
        <f aca="false">IF(OR(G448="",H448=""),"",H448-G448)</f>
        <v/>
      </c>
      <c r="P448" s="15" t="str">
        <f aca="false">IF(OR(G448="",J448=""),"",J448-G448)</f>
        <v/>
      </c>
    </row>
    <row r="449" customFormat="false" ht="15" hidden="false" customHeight="false" outlineLevel="0" collapsed="false">
      <c r="N449" s="15" t="str">
        <f aca="false">IFERROR(MATCH(K449,Lists!$A$2:$A$6,0),"")</f>
        <v/>
      </c>
      <c r="O449" s="15" t="str">
        <f aca="false">IF(OR(G449="",H449=""),"",H449-G449)</f>
        <v/>
      </c>
      <c r="P449" s="15" t="str">
        <f aca="false">IF(OR(G449="",J449=""),"",J449-G449)</f>
        <v/>
      </c>
    </row>
    <row r="450" customFormat="false" ht="15" hidden="false" customHeight="false" outlineLevel="0" collapsed="false">
      <c r="N450" s="15" t="str">
        <f aca="false">IFERROR(MATCH(K450,Lists!$A$2:$A$6,0),"")</f>
        <v/>
      </c>
      <c r="O450" s="15" t="str">
        <f aca="false">IF(OR(G450="",H450=""),"",H450-G450)</f>
        <v/>
      </c>
      <c r="P450" s="15" t="str">
        <f aca="false">IF(OR(G450="",J450=""),"",J450-G450)</f>
        <v/>
      </c>
    </row>
    <row r="451" customFormat="false" ht="15" hidden="false" customHeight="false" outlineLevel="0" collapsed="false">
      <c r="N451" s="15" t="str">
        <f aca="false">IFERROR(MATCH(K451,Lists!$A$2:$A$6,0),"")</f>
        <v/>
      </c>
      <c r="O451" s="15" t="str">
        <f aca="false">IF(OR(G451="",H451=""),"",H451-G451)</f>
        <v/>
      </c>
      <c r="P451" s="15" t="str">
        <f aca="false">IF(OR(G451="",J451=""),"",J451-G451)</f>
        <v/>
      </c>
    </row>
    <row r="452" customFormat="false" ht="15" hidden="false" customHeight="false" outlineLevel="0" collapsed="false">
      <c r="N452" s="15" t="str">
        <f aca="false">IFERROR(MATCH(K452,Lists!$A$2:$A$6,0),"")</f>
        <v/>
      </c>
      <c r="O452" s="15" t="str">
        <f aca="false">IF(OR(G452="",H452=""),"",H452-G452)</f>
        <v/>
      </c>
      <c r="P452" s="15" t="str">
        <f aca="false">IF(OR(G452="",J452=""),"",J452-G452)</f>
        <v/>
      </c>
    </row>
    <row r="453" customFormat="false" ht="15" hidden="false" customHeight="false" outlineLevel="0" collapsed="false">
      <c r="N453" s="15" t="str">
        <f aca="false">IFERROR(MATCH(K453,Lists!$A$2:$A$6,0),"")</f>
        <v/>
      </c>
      <c r="O453" s="15" t="str">
        <f aca="false">IF(OR(G453="",H453=""),"",H453-G453)</f>
        <v/>
      </c>
      <c r="P453" s="15" t="str">
        <f aca="false">IF(OR(G453="",J453=""),"",J453-G453)</f>
        <v/>
      </c>
    </row>
    <row r="454" customFormat="false" ht="15" hidden="false" customHeight="false" outlineLevel="0" collapsed="false">
      <c r="N454" s="15" t="str">
        <f aca="false">IFERROR(MATCH(K454,Lists!$A$2:$A$6,0),"")</f>
        <v/>
      </c>
      <c r="O454" s="15" t="str">
        <f aca="false">IF(OR(G454="",H454=""),"",H454-G454)</f>
        <v/>
      </c>
      <c r="P454" s="15" t="str">
        <f aca="false">IF(OR(G454="",J454=""),"",J454-G454)</f>
        <v/>
      </c>
    </row>
    <row r="455" customFormat="false" ht="15" hidden="false" customHeight="false" outlineLevel="0" collapsed="false">
      <c r="N455" s="15" t="str">
        <f aca="false">IFERROR(MATCH(K455,Lists!$A$2:$A$6,0),"")</f>
        <v/>
      </c>
      <c r="O455" s="15" t="str">
        <f aca="false">IF(OR(G455="",H455=""),"",H455-G455)</f>
        <v/>
      </c>
      <c r="P455" s="15" t="str">
        <f aca="false">IF(OR(G455="",J455=""),"",J455-G455)</f>
        <v/>
      </c>
    </row>
    <row r="456" customFormat="false" ht="15" hidden="false" customHeight="false" outlineLevel="0" collapsed="false">
      <c r="N456" s="15" t="str">
        <f aca="false">IFERROR(MATCH(K456,Lists!$A$2:$A$6,0),"")</f>
        <v/>
      </c>
      <c r="O456" s="15" t="str">
        <f aca="false">IF(OR(G456="",H456=""),"",H456-G456)</f>
        <v/>
      </c>
      <c r="P456" s="15" t="str">
        <f aca="false">IF(OR(G456="",J456=""),"",J456-G456)</f>
        <v/>
      </c>
    </row>
    <row r="457" customFormat="false" ht="15" hidden="false" customHeight="false" outlineLevel="0" collapsed="false">
      <c r="N457" s="15" t="str">
        <f aca="false">IFERROR(MATCH(K457,Lists!$A$2:$A$6,0),"")</f>
        <v/>
      </c>
      <c r="O457" s="15" t="str">
        <f aca="false">IF(OR(G457="",H457=""),"",H457-G457)</f>
        <v/>
      </c>
      <c r="P457" s="15" t="str">
        <f aca="false">IF(OR(G457="",J457=""),"",J457-G457)</f>
        <v/>
      </c>
    </row>
    <row r="458" customFormat="false" ht="15" hidden="false" customHeight="false" outlineLevel="0" collapsed="false">
      <c r="N458" s="15" t="str">
        <f aca="false">IFERROR(MATCH(K458,Lists!$A$2:$A$6,0),"")</f>
        <v/>
      </c>
      <c r="O458" s="15" t="str">
        <f aca="false">IF(OR(G458="",H458=""),"",H458-G458)</f>
        <v/>
      </c>
      <c r="P458" s="15" t="str">
        <f aca="false">IF(OR(G458="",J458=""),"",J458-G458)</f>
        <v/>
      </c>
    </row>
    <row r="459" customFormat="false" ht="15" hidden="false" customHeight="false" outlineLevel="0" collapsed="false">
      <c r="N459" s="15" t="str">
        <f aca="false">IFERROR(MATCH(K459,Lists!$A$2:$A$6,0),"")</f>
        <v/>
      </c>
      <c r="O459" s="15" t="str">
        <f aca="false">IF(OR(G459="",H459=""),"",H459-G459)</f>
        <v/>
      </c>
      <c r="P459" s="15" t="str">
        <f aca="false">IF(OR(G459="",J459=""),"",J459-G459)</f>
        <v/>
      </c>
    </row>
    <row r="460" customFormat="false" ht="15" hidden="false" customHeight="false" outlineLevel="0" collapsed="false">
      <c r="N460" s="15" t="str">
        <f aca="false">IFERROR(MATCH(K460,Lists!$A$2:$A$6,0),"")</f>
        <v/>
      </c>
      <c r="O460" s="15" t="str">
        <f aca="false">IF(OR(G460="",H460=""),"",H460-G460)</f>
        <v/>
      </c>
      <c r="P460" s="15" t="str">
        <f aca="false">IF(OR(G460="",J460=""),"",J460-G460)</f>
        <v/>
      </c>
    </row>
    <row r="461" customFormat="false" ht="15" hidden="false" customHeight="false" outlineLevel="0" collapsed="false">
      <c r="N461" s="15" t="str">
        <f aca="false">IFERROR(MATCH(K461,Lists!$A$2:$A$6,0),"")</f>
        <v/>
      </c>
      <c r="O461" s="15" t="str">
        <f aca="false">IF(OR(G461="",H461=""),"",H461-G461)</f>
        <v/>
      </c>
      <c r="P461" s="15" t="str">
        <f aca="false">IF(OR(G461="",J461=""),"",J461-G461)</f>
        <v/>
      </c>
    </row>
    <row r="462" customFormat="false" ht="15" hidden="false" customHeight="false" outlineLevel="0" collapsed="false">
      <c r="N462" s="15" t="str">
        <f aca="false">IFERROR(MATCH(K462,Lists!$A$2:$A$6,0),"")</f>
        <v/>
      </c>
      <c r="O462" s="15" t="str">
        <f aca="false">IF(OR(G462="",H462=""),"",H462-G462)</f>
        <v/>
      </c>
      <c r="P462" s="15" t="str">
        <f aca="false">IF(OR(G462="",J462=""),"",J462-G462)</f>
        <v/>
      </c>
    </row>
    <row r="463" customFormat="false" ht="15" hidden="false" customHeight="false" outlineLevel="0" collapsed="false">
      <c r="N463" s="15" t="str">
        <f aca="false">IFERROR(MATCH(K463,Lists!$A$2:$A$6,0),"")</f>
        <v/>
      </c>
      <c r="O463" s="15" t="str">
        <f aca="false">IF(OR(G463="",H463=""),"",H463-G463)</f>
        <v/>
      </c>
      <c r="P463" s="15" t="str">
        <f aca="false">IF(OR(G463="",J463=""),"",J463-G463)</f>
        <v/>
      </c>
    </row>
    <row r="464" customFormat="false" ht="15" hidden="false" customHeight="false" outlineLevel="0" collapsed="false">
      <c r="N464" s="15" t="str">
        <f aca="false">IFERROR(MATCH(K464,Lists!$A$2:$A$6,0),"")</f>
        <v/>
      </c>
      <c r="O464" s="15" t="str">
        <f aca="false">IF(OR(G464="",H464=""),"",H464-G464)</f>
        <v/>
      </c>
      <c r="P464" s="15" t="str">
        <f aca="false">IF(OR(G464="",J464=""),"",J464-G464)</f>
        <v/>
      </c>
    </row>
    <row r="465" customFormat="false" ht="15" hidden="false" customHeight="false" outlineLevel="0" collapsed="false">
      <c r="N465" s="15" t="str">
        <f aca="false">IFERROR(MATCH(K465,Lists!$A$2:$A$6,0),"")</f>
        <v/>
      </c>
      <c r="O465" s="15" t="str">
        <f aca="false">IF(OR(G465="",H465=""),"",H465-G465)</f>
        <v/>
      </c>
      <c r="P465" s="15" t="str">
        <f aca="false">IF(OR(G465="",J465=""),"",J465-G465)</f>
        <v/>
      </c>
    </row>
    <row r="466" customFormat="false" ht="15" hidden="false" customHeight="false" outlineLevel="0" collapsed="false">
      <c r="N466" s="15" t="str">
        <f aca="false">IFERROR(MATCH(K466,Lists!$A$2:$A$6,0),"")</f>
        <v/>
      </c>
      <c r="O466" s="15" t="str">
        <f aca="false">IF(OR(G466="",H466=""),"",H466-G466)</f>
        <v/>
      </c>
      <c r="P466" s="15" t="str">
        <f aca="false">IF(OR(G466="",J466=""),"",J466-G466)</f>
        <v/>
      </c>
    </row>
    <row r="467" customFormat="false" ht="15" hidden="false" customHeight="false" outlineLevel="0" collapsed="false">
      <c r="N467" s="15" t="str">
        <f aca="false">IFERROR(MATCH(K467,Lists!$A$2:$A$6,0),"")</f>
        <v/>
      </c>
      <c r="O467" s="15" t="str">
        <f aca="false">IF(OR(G467="",H467=""),"",H467-G467)</f>
        <v/>
      </c>
      <c r="P467" s="15" t="str">
        <f aca="false">IF(OR(G467="",J467=""),"",J467-G467)</f>
        <v/>
      </c>
    </row>
    <row r="468" customFormat="false" ht="15" hidden="false" customHeight="false" outlineLevel="0" collapsed="false">
      <c r="N468" s="15" t="str">
        <f aca="false">IFERROR(MATCH(K468,Lists!$A$2:$A$6,0),"")</f>
        <v/>
      </c>
      <c r="O468" s="15" t="str">
        <f aca="false">IF(OR(G468="",H468=""),"",H468-G468)</f>
        <v/>
      </c>
      <c r="P468" s="15" t="str">
        <f aca="false">IF(OR(G468="",J468=""),"",J468-G468)</f>
        <v/>
      </c>
    </row>
    <row r="469" customFormat="false" ht="15" hidden="false" customHeight="false" outlineLevel="0" collapsed="false">
      <c r="N469" s="15" t="str">
        <f aca="false">IFERROR(MATCH(K469,Lists!$A$2:$A$6,0),"")</f>
        <v/>
      </c>
      <c r="O469" s="15" t="str">
        <f aca="false">IF(OR(G469="",H469=""),"",H469-G469)</f>
        <v/>
      </c>
      <c r="P469" s="15" t="str">
        <f aca="false">IF(OR(G469="",J469=""),"",J469-G469)</f>
        <v/>
      </c>
    </row>
    <row r="470" customFormat="false" ht="15" hidden="false" customHeight="false" outlineLevel="0" collapsed="false">
      <c r="N470" s="15" t="str">
        <f aca="false">IFERROR(MATCH(K470,Lists!$A$2:$A$6,0),"")</f>
        <v/>
      </c>
      <c r="O470" s="15" t="str">
        <f aca="false">IF(OR(G470="",H470=""),"",H470-G470)</f>
        <v/>
      </c>
      <c r="P470" s="15" t="str">
        <f aca="false">IF(OR(G470="",J470=""),"",J470-G470)</f>
        <v/>
      </c>
    </row>
    <row r="471" customFormat="false" ht="15" hidden="false" customHeight="false" outlineLevel="0" collapsed="false">
      <c r="N471" s="15" t="str">
        <f aca="false">IFERROR(MATCH(K471,Lists!$A$2:$A$6,0),"")</f>
        <v/>
      </c>
      <c r="O471" s="15" t="str">
        <f aca="false">IF(OR(G471="",H471=""),"",H471-G471)</f>
        <v/>
      </c>
      <c r="P471" s="15" t="str">
        <f aca="false">IF(OR(G471="",J471=""),"",J471-G471)</f>
        <v/>
      </c>
    </row>
    <row r="472" customFormat="false" ht="15" hidden="false" customHeight="false" outlineLevel="0" collapsed="false">
      <c r="N472" s="15" t="str">
        <f aca="false">IFERROR(MATCH(K472,Lists!$A$2:$A$6,0),"")</f>
        <v/>
      </c>
      <c r="O472" s="15" t="str">
        <f aca="false">IF(OR(G472="",H472=""),"",H472-G472)</f>
        <v/>
      </c>
      <c r="P472" s="15" t="str">
        <f aca="false">IF(OR(G472="",J472=""),"",J472-G472)</f>
        <v/>
      </c>
    </row>
    <row r="473" customFormat="false" ht="15" hidden="false" customHeight="false" outlineLevel="0" collapsed="false">
      <c r="N473" s="15" t="str">
        <f aca="false">IFERROR(MATCH(K473,Lists!$A$2:$A$6,0),"")</f>
        <v/>
      </c>
      <c r="O473" s="15" t="str">
        <f aca="false">IF(OR(G473="",H473=""),"",H473-G473)</f>
        <v/>
      </c>
      <c r="P473" s="15" t="str">
        <f aca="false">IF(OR(G473="",J473=""),"",J473-G473)</f>
        <v/>
      </c>
    </row>
    <row r="474" customFormat="false" ht="15" hidden="false" customHeight="false" outlineLevel="0" collapsed="false">
      <c r="N474" s="15" t="str">
        <f aca="false">IFERROR(MATCH(K474,Lists!$A$2:$A$6,0),"")</f>
        <v/>
      </c>
      <c r="O474" s="15" t="str">
        <f aca="false">IF(OR(G474="",H474=""),"",H474-G474)</f>
        <v/>
      </c>
      <c r="P474" s="15" t="str">
        <f aca="false">IF(OR(G474="",J474=""),"",J474-G474)</f>
        <v/>
      </c>
    </row>
    <row r="475" customFormat="false" ht="15" hidden="false" customHeight="false" outlineLevel="0" collapsed="false">
      <c r="N475" s="15" t="str">
        <f aca="false">IFERROR(MATCH(K475,Lists!$A$2:$A$6,0),"")</f>
        <v/>
      </c>
      <c r="O475" s="15" t="str">
        <f aca="false">IF(OR(G475="",H475=""),"",H475-G475)</f>
        <v/>
      </c>
      <c r="P475" s="15" t="str">
        <f aca="false">IF(OR(G475="",J475=""),"",J475-G475)</f>
        <v/>
      </c>
    </row>
    <row r="476" customFormat="false" ht="15" hidden="false" customHeight="false" outlineLevel="0" collapsed="false">
      <c r="N476" s="15" t="str">
        <f aca="false">IFERROR(MATCH(K476,Lists!$A$2:$A$6,0),"")</f>
        <v/>
      </c>
      <c r="O476" s="15" t="str">
        <f aca="false">IF(OR(G476="",H476=""),"",H476-G476)</f>
        <v/>
      </c>
      <c r="P476" s="15" t="str">
        <f aca="false">IF(OR(G476="",J476=""),"",J476-G476)</f>
        <v/>
      </c>
    </row>
    <row r="477" customFormat="false" ht="15" hidden="false" customHeight="false" outlineLevel="0" collapsed="false">
      <c r="N477" s="15" t="str">
        <f aca="false">IFERROR(MATCH(K477,Lists!$A$2:$A$6,0),"")</f>
        <v/>
      </c>
      <c r="O477" s="15" t="str">
        <f aca="false">IF(OR(G477="",H477=""),"",H477-G477)</f>
        <v/>
      </c>
      <c r="P477" s="15" t="str">
        <f aca="false">IF(OR(G477="",J477=""),"",J477-G477)</f>
        <v/>
      </c>
    </row>
    <row r="478" customFormat="false" ht="15" hidden="false" customHeight="false" outlineLevel="0" collapsed="false">
      <c r="N478" s="15" t="str">
        <f aca="false">IFERROR(MATCH(K478,Lists!$A$2:$A$6,0),"")</f>
        <v/>
      </c>
      <c r="O478" s="15" t="str">
        <f aca="false">IF(OR(G478="",H478=""),"",H478-G478)</f>
        <v/>
      </c>
      <c r="P478" s="15" t="str">
        <f aca="false">IF(OR(G478="",J478=""),"",J478-G478)</f>
        <v/>
      </c>
    </row>
    <row r="479" customFormat="false" ht="15" hidden="false" customHeight="false" outlineLevel="0" collapsed="false">
      <c r="N479" s="15" t="str">
        <f aca="false">IFERROR(MATCH(K479,Lists!$A$2:$A$6,0),"")</f>
        <v/>
      </c>
      <c r="O479" s="15" t="str">
        <f aca="false">IF(OR(G479="",H479=""),"",H479-G479)</f>
        <v/>
      </c>
      <c r="P479" s="15" t="str">
        <f aca="false">IF(OR(G479="",J479=""),"",J479-G479)</f>
        <v/>
      </c>
    </row>
    <row r="480" customFormat="false" ht="15" hidden="false" customHeight="false" outlineLevel="0" collapsed="false">
      <c r="N480" s="15" t="str">
        <f aca="false">IFERROR(MATCH(K480,Lists!$A$2:$A$6,0),"")</f>
        <v/>
      </c>
      <c r="O480" s="15" t="str">
        <f aca="false">IF(OR(G480="",H480=""),"",H480-G480)</f>
        <v/>
      </c>
      <c r="P480" s="15" t="str">
        <f aca="false">IF(OR(G480="",J480=""),"",J480-G480)</f>
        <v/>
      </c>
    </row>
    <row r="481" customFormat="false" ht="15" hidden="false" customHeight="false" outlineLevel="0" collapsed="false">
      <c r="N481" s="15" t="str">
        <f aca="false">IFERROR(MATCH(K481,Lists!$A$2:$A$6,0),"")</f>
        <v/>
      </c>
      <c r="O481" s="15" t="str">
        <f aca="false">IF(OR(G481="",H481=""),"",H481-G481)</f>
        <v/>
      </c>
      <c r="P481" s="15" t="str">
        <f aca="false">IF(OR(G481="",J481=""),"",J481-G481)</f>
        <v/>
      </c>
    </row>
    <row r="482" customFormat="false" ht="15" hidden="false" customHeight="false" outlineLevel="0" collapsed="false">
      <c r="N482" s="15" t="str">
        <f aca="false">IFERROR(MATCH(K482,Lists!$A$2:$A$6,0),"")</f>
        <v/>
      </c>
      <c r="O482" s="15" t="str">
        <f aca="false">IF(OR(G482="",H482=""),"",H482-G482)</f>
        <v/>
      </c>
      <c r="P482" s="15" t="str">
        <f aca="false">IF(OR(G482="",J482=""),"",J482-G482)</f>
        <v/>
      </c>
    </row>
    <row r="483" customFormat="false" ht="15" hidden="false" customHeight="false" outlineLevel="0" collapsed="false">
      <c r="N483" s="15" t="str">
        <f aca="false">IFERROR(MATCH(K483,Lists!$A$2:$A$6,0),"")</f>
        <v/>
      </c>
      <c r="O483" s="15" t="str">
        <f aca="false">IF(OR(G483="",H483=""),"",H483-G483)</f>
        <v/>
      </c>
      <c r="P483" s="15" t="str">
        <f aca="false">IF(OR(G483="",J483=""),"",J483-G483)</f>
        <v/>
      </c>
    </row>
    <row r="484" customFormat="false" ht="15" hidden="false" customHeight="false" outlineLevel="0" collapsed="false">
      <c r="N484" s="15" t="str">
        <f aca="false">IFERROR(MATCH(K484,Lists!$A$2:$A$6,0),"")</f>
        <v/>
      </c>
      <c r="O484" s="15" t="str">
        <f aca="false">IF(OR(G484="",H484=""),"",H484-G484)</f>
        <v/>
      </c>
      <c r="P484" s="15" t="str">
        <f aca="false">IF(OR(G484="",J484=""),"",J484-G484)</f>
        <v/>
      </c>
    </row>
    <row r="485" customFormat="false" ht="15" hidden="false" customHeight="false" outlineLevel="0" collapsed="false">
      <c r="N485" s="15" t="str">
        <f aca="false">IFERROR(MATCH(K485,Lists!$A$2:$A$6,0),"")</f>
        <v/>
      </c>
      <c r="O485" s="15" t="str">
        <f aca="false">IF(OR(G485="",H485=""),"",H485-G485)</f>
        <v/>
      </c>
      <c r="P485" s="15" t="str">
        <f aca="false">IF(OR(G485="",J485=""),"",J485-G485)</f>
        <v/>
      </c>
    </row>
    <row r="486" customFormat="false" ht="15" hidden="false" customHeight="false" outlineLevel="0" collapsed="false">
      <c r="N486" s="15" t="str">
        <f aca="false">IFERROR(MATCH(K486,Lists!$A$2:$A$6,0),"")</f>
        <v/>
      </c>
      <c r="O486" s="15" t="str">
        <f aca="false">IF(OR(G486="",H486=""),"",H486-G486)</f>
        <v/>
      </c>
      <c r="P486" s="15" t="str">
        <f aca="false">IF(OR(G486="",J486=""),"",J486-G486)</f>
        <v/>
      </c>
    </row>
    <row r="487" customFormat="false" ht="15" hidden="false" customHeight="false" outlineLevel="0" collapsed="false">
      <c r="N487" s="15" t="str">
        <f aca="false">IFERROR(MATCH(K487,Lists!$A$2:$A$6,0),"")</f>
        <v/>
      </c>
      <c r="O487" s="15" t="str">
        <f aca="false">IF(OR(G487="",H487=""),"",H487-G487)</f>
        <v/>
      </c>
      <c r="P487" s="15" t="str">
        <f aca="false">IF(OR(G487="",J487=""),"",J487-G487)</f>
        <v/>
      </c>
    </row>
    <row r="488" customFormat="false" ht="15" hidden="false" customHeight="false" outlineLevel="0" collapsed="false">
      <c r="N488" s="15" t="str">
        <f aca="false">IFERROR(MATCH(K488,Lists!$A$2:$A$6,0),"")</f>
        <v/>
      </c>
      <c r="O488" s="15" t="str">
        <f aca="false">IF(OR(G488="",H488=""),"",H488-G488)</f>
        <v/>
      </c>
      <c r="P488" s="15" t="str">
        <f aca="false">IF(OR(G488="",J488=""),"",J488-G488)</f>
        <v/>
      </c>
    </row>
    <row r="489" customFormat="false" ht="15" hidden="false" customHeight="false" outlineLevel="0" collapsed="false">
      <c r="N489" s="15" t="str">
        <f aca="false">IFERROR(MATCH(K489,Lists!$A$2:$A$6,0),"")</f>
        <v/>
      </c>
      <c r="O489" s="15" t="str">
        <f aca="false">IF(OR(G489="",H489=""),"",H489-G489)</f>
        <v/>
      </c>
      <c r="P489" s="15" t="str">
        <f aca="false">IF(OR(G489="",J489=""),"",J489-G489)</f>
        <v/>
      </c>
    </row>
    <row r="490" customFormat="false" ht="15" hidden="false" customHeight="false" outlineLevel="0" collapsed="false">
      <c r="N490" s="15" t="str">
        <f aca="false">IFERROR(MATCH(K490,Lists!$A$2:$A$6,0),"")</f>
        <v/>
      </c>
      <c r="O490" s="15" t="str">
        <f aca="false">IF(OR(G490="",H490=""),"",H490-G490)</f>
        <v/>
      </c>
      <c r="P490" s="15" t="str">
        <f aca="false">IF(OR(G490="",J490=""),"",J490-G490)</f>
        <v/>
      </c>
    </row>
    <row r="491" customFormat="false" ht="15" hidden="false" customHeight="false" outlineLevel="0" collapsed="false">
      <c r="N491" s="15" t="str">
        <f aca="false">IFERROR(MATCH(K491,Lists!$A$2:$A$6,0),"")</f>
        <v/>
      </c>
      <c r="O491" s="15" t="str">
        <f aca="false">IF(OR(G491="",H491=""),"",H491-G491)</f>
        <v/>
      </c>
      <c r="P491" s="15" t="str">
        <f aca="false">IF(OR(G491="",J491=""),"",J491-G491)</f>
        <v/>
      </c>
    </row>
    <row r="492" customFormat="false" ht="15" hidden="false" customHeight="false" outlineLevel="0" collapsed="false">
      <c r="N492" s="15" t="str">
        <f aca="false">IFERROR(MATCH(K492,Lists!$A$2:$A$6,0),"")</f>
        <v/>
      </c>
      <c r="O492" s="15" t="str">
        <f aca="false">IF(OR(G492="",H492=""),"",H492-G492)</f>
        <v/>
      </c>
      <c r="P492" s="15" t="str">
        <f aca="false">IF(OR(G492="",J492=""),"",J492-G492)</f>
        <v/>
      </c>
    </row>
    <row r="493" customFormat="false" ht="15" hidden="false" customHeight="false" outlineLevel="0" collapsed="false">
      <c r="N493" s="15" t="str">
        <f aca="false">IFERROR(MATCH(K493,Lists!$A$2:$A$6,0),"")</f>
        <v/>
      </c>
      <c r="O493" s="15" t="str">
        <f aca="false">IF(OR(G493="",H493=""),"",H493-G493)</f>
        <v/>
      </c>
      <c r="P493" s="15" t="str">
        <f aca="false">IF(OR(G493="",J493=""),"",J493-G493)</f>
        <v/>
      </c>
    </row>
    <row r="494" customFormat="false" ht="15" hidden="false" customHeight="false" outlineLevel="0" collapsed="false">
      <c r="N494" s="15" t="str">
        <f aca="false">IFERROR(MATCH(K494,Lists!$A$2:$A$6,0),"")</f>
        <v/>
      </c>
      <c r="O494" s="15" t="str">
        <f aca="false">IF(OR(G494="",H494=""),"",H494-G494)</f>
        <v/>
      </c>
      <c r="P494" s="15" t="str">
        <f aca="false">IF(OR(G494="",J494=""),"",J494-G494)</f>
        <v/>
      </c>
    </row>
    <row r="495" customFormat="false" ht="15" hidden="false" customHeight="false" outlineLevel="0" collapsed="false">
      <c r="N495" s="15" t="str">
        <f aca="false">IFERROR(MATCH(K495,Lists!$A$2:$A$6,0),"")</f>
        <v/>
      </c>
      <c r="O495" s="15" t="str">
        <f aca="false">IF(OR(G495="",H495=""),"",H495-G495)</f>
        <v/>
      </c>
      <c r="P495" s="15" t="str">
        <f aca="false">IF(OR(G495="",J495=""),"",J495-G495)</f>
        <v/>
      </c>
    </row>
    <row r="496" customFormat="false" ht="15" hidden="false" customHeight="false" outlineLevel="0" collapsed="false">
      <c r="N496" s="15" t="str">
        <f aca="false">IFERROR(MATCH(K496,Lists!$A$2:$A$6,0),"")</f>
        <v/>
      </c>
      <c r="O496" s="15" t="str">
        <f aca="false">IF(OR(G496="",H496=""),"",H496-G496)</f>
        <v/>
      </c>
      <c r="P496" s="15" t="str">
        <f aca="false">IF(OR(G496="",J496=""),"",J496-G496)</f>
        <v/>
      </c>
    </row>
    <row r="497" customFormat="false" ht="15" hidden="false" customHeight="false" outlineLevel="0" collapsed="false">
      <c r="N497" s="15" t="str">
        <f aca="false">IFERROR(MATCH(K497,Lists!$A$2:$A$6,0),"")</f>
        <v/>
      </c>
      <c r="O497" s="15" t="str">
        <f aca="false">IF(OR(G497="",H497=""),"",H497-G497)</f>
        <v/>
      </c>
      <c r="P497" s="15" t="str">
        <f aca="false">IF(OR(G497="",J497=""),"",J497-G497)</f>
        <v/>
      </c>
    </row>
    <row r="498" customFormat="false" ht="15" hidden="false" customHeight="false" outlineLevel="0" collapsed="false">
      <c r="N498" s="15" t="str">
        <f aca="false">IFERROR(MATCH(K498,Lists!$A$2:$A$6,0),"")</f>
        <v/>
      </c>
      <c r="O498" s="15" t="str">
        <f aca="false">IF(OR(G498="",H498=""),"",H498-G498)</f>
        <v/>
      </c>
      <c r="P498" s="15" t="str">
        <f aca="false">IF(OR(G498="",J498=""),"",J498-G498)</f>
        <v/>
      </c>
    </row>
    <row r="499" customFormat="false" ht="15" hidden="false" customHeight="false" outlineLevel="0" collapsed="false">
      <c r="N499" s="15" t="str">
        <f aca="false">IFERROR(MATCH(K499,Lists!$A$2:$A$6,0),"")</f>
        <v/>
      </c>
      <c r="O499" s="15" t="str">
        <f aca="false">IF(OR(G499="",H499=""),"",H499-G499)</f>
        <v/>
      </c>
      <c r="P499" s="15" t="str">
        <f aca="false">IF(OR(G499="",J499=""),"",J499-G499)</f>
        <v/>
      </c>
    </row>
    <row r="500" customFormat="false" ht="15" hidden="false" customHeight="false" outlineLevel="0" collapsed="false">
      <c r="N500" s="15" t="str">
        <f aca="false">IFERROR(MATCH(K500,Lists!$A$2:$A$6,0),"")</f>
        <v/>
      </c>
      <c r="O500" s="15" t="str">
        <f aca="false">IF(OR(G500="",H500=""),"",H500-G500)</f>
        <v/>
      </c>
      <c r="P500" s="15" t="str">
        <f aca="false">IF(OR(G500="",J500=""),"",J500-G500)</f>
        <v/>
      </c>
    </row>
  </sheetData>
  <autoFilter ref="A1:P500"/>
  <conditionalFormatting sqref="L2:L500">
    <cfRule type="cellIs" priority="2" operator="equal" aboveAverage="0" equalAverage="0" bottom="0" percent="0" rank="0" text="" dxfId="14">
      <formula>"Joined"</formula>
    </cfRule>
    <cfRule type="cellIs" priority="3" operator="equal" aboveAverage="0" equalAverage="0" bottom="0" percent="0" rank="0" text="" dxfId="15">
      <formula>"Rejected"</formula>
    </cfRule>
    <cfRule type="cellIs" priority="4" operator="equal" aboveAverage="0" equalAverage="0" bottom="0" percent="0" rank="0" text="" dxfId="16">
      <formula>"Withdrawn"</formula>
    </cfRule>
  </conditionalFormatting>
  <conditionalFormatting sqref="O2:O500">
    <cfRule type="expression" priority="5" aboveAverage="0" equalAverage="0" bottom="0" percent="0" rank="0" text="" dxfId="17">
      <formula>AND(ISNUMBER(O2),O2&gt;Dashboard!$B$4)</formula>
    </cfRule>
  </conditionalFormatting>
  <dataValidations count="6">
    <dataValidation allowBlank="true" error="Pick a value from the dropdown list (see the Lists sheet)." errorStyle="stop" errorTitle="Invalid value" operator="between" showDropDown="false" showErrorMessage="true" showInputMessage="false" sqref="D2:D500" type="list">
      <formula1>Lists!$C$2:$C$6</formula1>
      <formula2>0</formula2>
    </dataValidation>
    <dataValidation allowBlank="true" error="Pick a value from the dropdown list (see the Lists sheet)." errorStyle="stop" errorTitle="Invalid value" operator="between" showDropDown="false" showErrorMessage="true" showInputMessage="false" sqref="E2:E500" type="list">
      <formula1>Lists!$D$2:$D$6</formula1>
      <formula2>0</formula2>
    </dataValidation>
    <dataValidation allowBlank="true" error="Pick a value from the dropdown list (see the Lists sheet)." errorStyle="stop" errorTitle="Invalid value" operator="between" showDropDown="false" showErrorMessage="true" showInputMessage="false" sqref="F2:F500" type="list">
      <formula1>Lists!$E$2:$E$4</formula1>
      <formula2>0</formula2>
    </dataValidation>
    <dataValidation allowBlank="true" error="Pick a value from the dropdown list (see the Lists sheet)." errorStyle="stop" errorTitle="Invalid value" operator="between" showDropDown="false" showErrorMessage="true" showInputMessage="false" sqref="K2:K500" type="list">
      <formula1>Lists!$A$2:$A$6</formula1>
      <formula2>0</formula2>
    </dataValidation>
    <dataValidation allowBlank="true" error="Pick a value from the dropdown list (see the Lists sheet)." errorStyle="stop" errorTitle="Invalid value" operator="between" showDropDown="false" showErrorMessage="true" showInputMessage="false" sqref="L2:L500" type="list">
      <formula1>Lists!$B$2:$B$5</formula1>
      <formula2>0</formula2>
    </dataValidation>
    <dataValidation allowBlank="true" error="Enter a valid date." errorStyle="stop" errorTitle="Invalid date" operator="greaterThan" showDropDown="false" showErrorMessage="true" showInputMessage="false" sqref="G2:J500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6" t="s">
        <v>393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8" t="s">
        <v>394</v>
      </c>
    </row>
    <row r="4" customFormat="false" ht="15" hidden="false" customHeight="false" outlineLevel="0" collapsed="false">
      <c r="A4" s="17" t="s">
        <v>395</v>
      </c>
    </row>
    <row r="5" customFormat="false" ht="15" hidden="false" customHeight="false" outlineLevel="0" collapsed="false">
      <c r="A5" s="17" t="s">
        <v>396</v>
      </c>
    </row>
    <row r="6" customFormat="false" ht="15" hidden="false" customHeight="false" outlineLevel="0" collapsed="false">
      <c r="A6" s="17" t="s">
        <v>397</v>
      </c>
    </row>
    <row r="7" customFormat="false" ht="15" hidden="false" customHeight="false" outlineLevel="0" collapsed="false">
      <c r="A7" s="17" t="s">
        <v>398</v>
      </c>
    </row>
    <row r="8" customFormat="false" ht="15" hidden="false" customHeight="false" outlineLevel="0" collapsed="false">
      <c r="A8" s="17" t="s">
        <v>399</v>
      </c>
    </row>
    <row r="9" customFormat="false" ht="15" hidden="false" customHeight="false" outlineLevel="0" collapsed="false">
      <c r="A9" s="17"/>
    </row>
    <row r="10" customFormat="false" ht="15" hidden="false" customHeight="false" outlineLevel="0" collapsed="false">
      <c r="A10" s="18" t="s">
        <v>400</v>
      </c>
    </row>
    <row r="11" customFormat="false" ht="15" hidden="false" customHeight="false" outlineLevel="0" collapsed="false">
      <c r="A11" s="17" t="s">
        <v>401</v>
      </c>
    </row>
    <row r="12" customFormat="false" ht="15" hidden="false" customHeight="false" outlineLevel="0" collapsed="false">
      <c r="A12" s="17"/>
    </row>
    <row r="13" customFormat="false" ht="15" hidden="false" customHeight="false" outlineLevel="0" collapsed="false">
      <c r="A13" s="18" t="s">
        <v>402</v>
      </c>
    </row>
    <row r="14" customFormat="false" ht="15" hidden="false" customHeight="false" outlineLevel="0" collapsed="false">
      <c r="A14" s="17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15" hidden="false" customHeight="false" outlineLevel="0" collapsed="false">
      <c r="A1" s="9" t="s">
        <v>10</v>
      </c>
      <c r="B1" s="9" t="s">
        <v>50</v>
      </c>
      <c r="C1" s="9" t="s">
        <v>33</v>
      </c>
      <c r="D1" s="9" t="s">
        <v>21</v>
      </c>
      <c r="E1" s="9" t="s">
        <v>45</v>
      </c>
    </row>
    <row r="2" customFormat="false" ht="15" hidden="false" customHeight="false" outlineLevel="0" collapsed="false">
      <c r="A2" s="19" t="s">
        <v>15</v>
      </c>
      <c r="B2" s="19" t="s">
        <v>34</v>
      </c>
      <c r="C2" s="19" t="s">
        <v>37</v>
      </c>
      <c r="D2" s="19" t="s">
        <v>27</v>
      </c>
      <c r="E2" s="19" t="s">
        <v>65</v>
      </c>
    </row>
    <row r="3" customFormat="false" ht="15" hidden="false" customHeight="false" outlineLevel="0" collapsed="false">
      <c r="A3" s="19" t="s">
        <v>16</v>
      </c>
      <c r="B3" s="19" t="s">
        <v>35</v>
      </c>
      <c r="C3" s="19" t="s">
        <v>38</v>
      </c>
      <c r="D3" s="19" t="s">
        <v>28</v>
      </c>
      <c r="E3" s="19" t="s">
        <v>57</v>
      </c>
    </row>
    <row r="4" customFormat="false" ht="15" hidden="false" customHeight="false" outlineLevel="0" collapsed="false">
      <c r="A4" s="19" t="s">
        <v>17</v>
      </c>
      <c r="B4" s="19" t="s">
        <v>36</v>
      </c>
      <c r="C4" s="19" t="s">
        <v>39</v>
      </c>
      <c r="D4" s="19" t="s">
        <v>29</v>
      </c>
      <c r="E4" s="19" t="s">
        <v>61</v>
      </c>
    </row>
    <row r="5" customFormat="false" ht="15" hidden="false" customHeight="false" outlineLevel="0" collapsed="false">
      <c r="A5" s="19" t="s">
        <v>18</v>
      </c>
      <c r="B5" s="19" t="s">
        <v>19</v>
      </c>
      <c r="C5" s="19" t="s">
        <v>40</v>
      </c>
      <c r="D5" s="19" t="s">
        <v>30</v>
      </c>
    </row>
    <row r="6" customFormat="false" ht="15" hidden="false" customHeight="false" outlineLevel="0" collapsed="false">
      <c r="A6" s="19" t="s">
        <v>19</v>
      </c>
      <c r="C6" s="19" t="s">
        <v>41</v>
      </c>
      <c r="D6" s="19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2026-09-20T20:24:20Z</dcterms:created>
  <dc:creator>openpyxl</dc:creator>
  <dc:description/>
  <dc:language>en-US</dc:language>
  <cp:lastModifiedBy/>
  <dcterms:modified xsi:type="dcterms:W3CDTF">2026-09-20T20:24:22Z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